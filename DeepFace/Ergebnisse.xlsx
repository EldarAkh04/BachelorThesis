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darakhundzada/Desktop/8. Semester/BachelorThesis/DeepFace/"/>
    </mc:Choice>
  </mc:AlternateContent>
  <xr:revisionPtr revIDLastSave="0" documentId="13_ncr:1_{BA85D6DD-C5BF-FF4F-9B2E-55D0D18C8F96}" xr6:coauthVersionLast="47" xr6:coauthVersionMax="47" xr10:uidLastSave="{00000000-0000-0000-0000-000000000000}"/>
  <bookViews>
    <workbookView xWindow="-4680" yWindow="-21100" windowWidth="38400" windowHeight="21100" xr2:uid="{F8B601AC-B7A8-9541-AC5C-870221668981}"/>
  </bookViews>
  <sheets>
    <sheet name="Tabelle1" sheetId="1" r:id="rId1"/>
  </sheets>
  <definedNames>
    <definedName name="_xlnm._FilterDatabase" localSheetId="0" hidden="1">Tabelle1!$A$1:$J$158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171" i="1" l="1"/>
  <c r="H170" i="1"/>
  <c r="B265" i="1"/>
  <c r="B264" i="1"/>
  <c r="B243" i="1"/>
  <c r="B244" i="1"/>
  <c r="B234" i="1"/>
  <c r="B233" i="1"/>
  <c r="B229" i="1"/>
  <c r="B232" i="1"/>
  <c r="B221" i="1"/>
  <c r="B224" i="1"/>
  <c r="B226" i="1"/>
  <c r="B225" i="1"/>
  <c r="B218" i="1"/>
  <c r="B217" i="1"/>
  <c r="B216" i="1"/>
  <c r="B212" i="1"/>
  <c r="B209" i="1"/>
  <c r="B208" i="1"/>
  <c r="B207" i="1"/>
  <c r="B203" i="1"/>
  <c r="B198" i="1"/>
  <c r="B200" i="1"/>
  <c r="B199" i="1"/>
  <c r="B194" i="1"/>
  <c r="B179" i="1"/>
  <c r="B178" i="1"/>
  <c r="B177" i="1"/>
  <c r="B174" i="1"/>
  <c r="B158" i="1"/>
  <c r="B163" i="1"/>
  <c r="B162" i="1"/>
  <c r="B161" i="1"/>
  <c r="B149" i="1"/>
  <c r="B148" i="1"/>
  <c r="B147" i="1"/>
  <c r="B146" i="1"/>
  <c r="B145" i="1"/>
  <c r="B144" i="1"/>
  <c r="B131" i="1"/>
  <c r="B130" i="1"/>
</calcChain>
</file>

<file path=xl/sharedStrings.xml><?xml version="1.0" encoding="utf-8"?>
<sst xmlns="http://schemas.openxmlformats.org/spreadsheetml/2006/main" count="1059" uniqueCount="240">
  <si>
    <t>Ethnie</t>
  </si>
  <si>
    <t>Geschlecht</t>
  </si>
  <si>
    <t>Altergruppe</t>
  </si>
  <si>
    <t>Referenzperson</t>
  </si>
  <si>
    <t>Distanzwert</t>
  </si>
  <si>
    <t>Verified</t>
  </si>
  <si>
    <t>IM101-low.png</t>
  </si>
  <si>
    <t>IM101-mid.png</t>
  </si>
  <si>
    <t>IM101-hig.png</t>
  </si>
  <si>
    <t>Asian</t>
  </si>
  <si>
    <t>Man</t>
  </si>
  <si>
    <t>20-30</t>
  </si>
  <si>
    <t>Low</t>
  </si>
  <si>
    <t>Mid</t>
  </si>
  <si>
    <t>Hig</t>
  </si>
  <si>
    <t>True</t>
  </si>
  <si>
    <t>0.1372</t>
  </si>
  <si>
    <t>0.1115</t>
  </si>
  <si>
    <t>0.2664</t>
  </si>
  <si>
    <t>0.1393</t>
  </si>
  <si>
    <t>False</t>
  </si>
  <si>
    <t>0.3104</t>
  </si>
  <si>
    <t>0.3955</t>
  </si>
  <si>
    <t>IM779-low.png</t>
  </si>
  <si>
    <t>IM779-mid.png</t>
  </si>
  <si>
    <t>IM779-hig.png</t>
  </si>
  <si>
    <t>30-40</t>
  </si>
  <si>
    <t>0.144</t>
  </si>
  <si>
    <t>0.0905</t>
  </si>
  <si>
    <t>0.172</t>
  </si>
  <si>
    <t>0.2624</t>
  </si>
  <si>
    <t>0.264</t>
  </si>
  <si>
    <t>0.4317</t>
  </si>
  <si>
    <t>IM7-low.png</t>
  </si>
  <si>
    <t>IM7-hig.png</t>
  </si>
  <si>
    <t>IM7-mid.png</t>
  </si>
  <si>
    <t>Woman</t>
  </si>
  <si>
    <t>0.186</t>
  </si>
  <si>
    <t>0.0921</t>
  </si>
  <si>
    <t>0.2226</t>
  </si>
  <si>
    <t>0.1518</t>
  </si>
  <si>
    <t>0.3054</t>
  </si>
  <si>
    <t>0.3964</t>
  </si>
  <si>
    <t>0.236</t>
  </si>
  <si>
    <t>IM916-low.png</t>
  </si>
  <si>
    <t>IM916-mid.png</t>
  </si>
  <si>
    <t>IM916-hig.png</t>
  </si>
  <si>
    <t>0.1222</t>
  </si>
  <si>
    <t>0.2545</t>
  </si>
  <si>
    <t>0.1503</t>
  </si>
  <si>
    <t>0.3851</t>
  </si>
  <si>
    <t>0.2629</t>
  </si>
  <si>
    <t>IM253-low.png</t>
  </si>
  <si>
    <t>IM253-hig.png</t>
  </si>
  <si>
    <t>IM253-mid.png</t>
  </si>
  <si>
    <t>Black</t>
  </si>
  <si>
    <t>0.1564</t>
  </si>
  <si>
    <t>0.1183</t>
  </si>
  <si>
    <t>0.2137</t>
  </si>
  <si>
    <t>0.131</t>
  </si>
  <si>
    <t>0.4904</t>
  </si>
  <si>
    <t>0.169</t>
  </si>
  <si>
    <t>IM17-low.png</t>
  </si>
  <si>
    <t>IM17-mid.png</t>
  </si>
  <si>
    <t>IM17-hig.png</t>
  </si>
  <si>
    <t>0.1429</t>
  </si>
  <si>
    <t>0.0704</t>
  </si>
  <si>
    <t>0.2249</t>
  </si>
  <si>
    <t>0.2991</t>
  </si>
  <si>
    <t>0.3727</t>
  </si>
  <si>
    <t>0.3708</t>
  </si>
  <si>
    <t>IM322-low.png</t>
  </si>
  <si>
    <t>IM322-mid.png</t>
  </si>
  <si>
    <t>IM322-hig.png</t>
  </si>
  <si>
    <t>0.1735</t>
  </si>
  <si>
    <t>0.0735</t>
  </si>
  <si>
    <t>0.2533</t>
  </si>
  <si>
    <t>0.1317</t>
  </si>
  <si>
    <t>0.4759</t>
  </si>
  <si>
    <t>0.1685</t>
  </si>
  <si>
    <t>IM164-low.png</t>
  </si>
  <si>
    <t>IM164-mid.png</t>
  </si>
  <si>
    <t>IM164-hig.png</t>
  </si>
  <si>
    <t>Indian</t>
  </si>
  <si>
    <t>0.139</t>
  </si>
  <si>
    <t>0.111</t>
  </si>
  <si>
    <t>0.1946</t>
  </si>
  <si>
    <t>0.1825</t>
  </si>
  <si>
    <t>0.2898</t>
  </si>
  <si>
    <t>0.3604</t>
  </si>
  <si>
    <t>IM190-low.png</t>
  </si>
  <si>
    <t>IM190-mid.png</t>
  </si>
  <si>
    <t>IM190-hig.png</t>
  </si>
  <si>
    <t>0.2536</t>
  </si>
  <si>
    <t>0.173</t>
  </si>
  <si>
    <t>0.3109</t>
  </si>
  <si>
    <t>0.4266</t>
  </si>
  <si>
    <t>IM104-low.png</t>
  </si>
  <si>
    <t>IM104-mid.png</t>
  </si>
  <si>
    <t>IM104-hig.png</t>
  </si>
  <si>
    <t>0.1694</t>
  </si>
  <si>
    <t>0.1015</t>
  </si>
  <si>
    <t>0.3397</t>
  </si>
  <si>
    <t>0.1162</t>
  </si>
  <si>
    <t>0.5986</t>
  </si>
  <si>
    <t>0.2138</t>
  </si>
  <si>
    <t>IM212-low.png</t>
  </si>
  <si>
    <t>IM212-mid.png</t>
  </si>
  <si>
    <t>IM212-hig.png</t>
  </si>
  <si>
    <t>0.174</t>
  </si>
  <si>
    <t>0.1287</t>
  </si>
  <si>
    <t>0.8829</t>
  </si>
  <si>
    <t>0.7233</t>
  </si>
  <si>
    <t>0.4814</t>
  </si>
  <si>
    <t>0.2716</t>
  </si>
  <si>
    <t>IM174-low.png</t>
  </si>
  <si>
    <t>IM174-mid.png</t>
  </si>
  <si>
    <t>IM174-hig.png</t>
  </si>
  <si>
    <t>Latino</t>
  </si>
  <si>
    <t>0.2414</t>
  </si>
  <si>
    <t>0.1456</t>
  </si>
  <si>
    <t>0.267</t>
  </si>
  <si>
    <t>0.1414</t>
  </si>
  <si>
    <t>0.338</t>
  </si>
  <si>
    <t>0.3077</t>
  </si>
  <si>
    <t>IM182-low.png</t>
  </si>
  <si>
    <t>IM182-mid.png</t>
  </si>
  <si>
    <t>IM182-hig.png</t>
  </si>
  <si>
    <t>0.1755</t>
  </si>
  <si>
    <t>0.0937</t>
  </si>
  <si>
    <t>0.2271</t>
  </si>
  <si>
    <t>0.1491</t>
  </si>
  <si>
    <t>0.244</t>
  </si>
  <si>
    <t>0.3834</t>
  </si>
  <si>
    <t>IM31-low.png</t>
  </si>
  <si>
    <t>IM31-mid.png</t>
  </si>
  <si>
    <t>IM31-hig.png</t>
  </si>
  <si>
    <t>0.198</t>
  </si>
  <si>
    <t>0.14</t>
  </si>
  <si>
    <t>0.1749</t>
  </si>
  <si>
    <t>0.506</t>
  </si>
  <si>
    <t>0.1387</t>
  </si>
  <si>
    <t>IM777-low.png</t>
  </si>
  <si>
    <t>IM777-mid.png</t>
  </si>
  <si>
    <t>IM777-hig.png</t>
  </si>
  <si>
    <t>0.1417</t>
  </si>
  <si>
    <t>0.1043</t>
  </si>
  <si>
    <t>0.1964</t>
  </si>
  <si>
    <t>0.183</t>
  </si>
  <si>
    <t>0.3287</t>
  </si>
  <si>
    <t>0.2474</t>
  </si>
  <si>
    <t>IM813-low.png</t>
  </si>
  <si>
    <t>IM813-mid.png</t>
  </si>
  <si>
    <t>IM813-hig.png</t>
  </si>
  <si>
    <t>White</t>
  </si>
  <si>
    <t>0.384</t>
  </si>
  <si>
    <t>0.2508</t>
  </si>
  <si>
    <t>0.347</t>
  </si>
  <si>
    <t>0.1362</t>
  </si>
  <si>
    <t>0.4203</t>
  </si>
  <si>
    <t>0.2092</t>
  </si>
  <si>
    <t>IM515-low.png</t>
  </si>
  <si>
    <t>IM515-mid.png</t>
  </si>
  <si>
    <t>IM515-hig.png</t>
  </si>
  <si>
    <t>0.2225</t>
  </si>
  <si>
    <t>0.1039</t>
  </si>
  <si>
    <t>0.3339</t>
  </si>
  <si>
    <t>0.1168</t>
  </si>
  <si>
    <t>0.405</t>
  </si>
  <si>
    <t>0.2154</t>
  </si>
  <si>
    <t>IM369-low.png</t>
  </si>
  <si>
    <t>IM369-mid.png</t>
  </si>
  <si>
    <t>IM369-hig.png</t>
  </si>
  <si>
    <t>0.4127</t>
  </si>
  <si>
    <t>0.2801</t>
  </si>
  <si>
    <t>0.2849</t>
  </si>
  <si>
    <t>0.1479</t>
  </si>
  <si>
    <t>0.4031</t>
  </si>
  <si>
    <t>0.2468</t>
  </si>
  <si>
    <t>IM371-low.png</t>
  </si>
  <si>
    <t>IM371-mid.png</t>
  </si>
  <si>
    <t>IM371-hig.png</t>
  </si>
  <si>
    <t>0.1915</t>
  </si>
  <si>
    <t>0.0899</t>
  </si>
  <si>
    <t>0.3031</t>
  </si>
  <si>
    <t>0.0878</t>
  </si>
  <si>
    <t>0.5905</t>
  </si>
  <si>
    <t>0.1737</t>
  </si>
  <si>
    <t>Distanzkategorie</t>
  </si>
  <si>
    <t>Morphbildname</t>
  </si>
  <si>
    <t>Testnummer</t>
  </si>
  <si>
    <t>IM471-low.png</t>
  </si>
  <si>
    <t>IM471-mid.png</t>
  </si>
  <si>
    <t>IM471-hig.png</t>
  </si>
  <si>
    <t>0.0588</t>
  </si>
  <si>
    <t>0.3238</t>
  </si>
  <si>
    <t>0.2143</t>
  </si>
  <si>
    <t>0.1919</t>
  </si>
  <si>
    <t>0.3507</t>
  </si>
  <si>
    <t>0.1923</t>
  </si>
  <si>
    <t>0.1488</t>
  </si>
  <si>
    <t>Auswertung:</t>
  </si>
  <si>
    <t>5.1 Gesamtübersicht</t>
  </si>
  <si>
    <t>Erfolgreiche Moprhs:</t>
  </si>
  <si>
    <t>Fehlgeschlagene 
Morphs:</t>
  </si>
  <si>
    <t>5.2.1 Distanzkategorien</t>
  </si>
  <si>
    <t>Low ohne Erfolg</t>
  </si>
  <si>
    <t>Low mit Erfolg</t>
  </si>
  <si>
    <t>Mid mit Erfolg</t>
  </si>
  <si>
    <t>Mid ohne Erfolg</t>
  </si>
  <si>
    <t>Hintergrund</t>
  </si>
  <si>
    <t>S</t>
  </si>
  <si>
    <t>D</t>
  </si>
  <si>
    <t>5.2.2 Einfluss der 
Hintergrunds</t>
  </si>
  <si>
    <t>Isgesamt D 
Hintergrund</t>
  </si>
  <si>
    <t>Hig mit Erfolg</t>
  </si>
  <si>
    <t>Hig ohne Erfolg</t>
  </si>
  <si>
    <t>Low true</t>
  </si>
  <si>
    <t>Mid true</t>
  </si>
  <si>
    <t>Hig true</t>
  </si>
  <si>
    <t>Isgesamt S
Hintergrund</t>
  </si>
  <si>
    <t>Ethnizität Asian</t>
  </si>
  <si>
    <t>Spalte1</t>
  </si>
  <si>
    <t>Spalte2</t>
  </si>
  <si>
    <t>Ethnizität Black</t>
  </si>
  <si>
    <t>Ethnizität India</t>
  </si>
  <si>
    <t>Ethnizität Latino</t>
  </si>
  <si>
    <t>Asian:</t>
  </si>
  <si>
    <t>Black:</t>
  </si>
  <si>
    <t>Indian:</t>
  </si>
  <si>
    <t>White:</t>
  </si>
  <si>
    <t>Latino:</t>
  </si>
  <si>
    <t>5.3 Verschidene
Ethnizitäten</t>
  </si>
  <si>
    <t>Frau</t>
  </si>
  <si>
    <t>5.4 .1 Geschlecht &amp; Ethnizität</t>
  </si>
  <si>
    <t>0.2149</t>
  </si>
  <si>
    <t>Direkter Vergleich:
Also ob bei D oder S mehr True oder fals ist</t>
  </si>
  <si>
    <t>Selber Hintergrund</t>
  </si>
  <si>
    <t>Unterschiedlicher 
Hintergrund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</si>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</sst>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29">
    <xf numFmtId="0" fontId="0" fillId="0" borderId="0" xfId="0"/>
    <xf numFmtId="0" fontId="0" fillId="0" borderId="0" xfId="0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0" fontId="1" fillId="2" borderId="2" xfId="1" applyBorder="1" applyAlignment="1">
      <alignment horizontal="center" vertical="center"/>
    </xf>
    <xf numFmtId="0" fontId="2" fillId="3" borderId="2" xfId="2" applyBorder="1" applyAlignment="1">
      <alignment horizontal="center" vertical="center"/>
    </xf>
    <xf numFmtId="0" fontId="1" fillId="2" borderId="3" xfId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2" fillId="3" borderId="3" xfId="2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0" fillId="5" borderId="0" xfId="0" applyFill="1" applyAlignment="1">
      <alignment horizontal="center" vertical="center"/>
    </xf>
    <xf numFmtId="0" fontId="0" fillId="5" borderId="0" xfId="0" applyFill="1" applyAlignment="1">
      <alignment horizontal="center" vertical="center" wrapText="1"/>
    </xf>
    <xf numFmtId="0" fontId="0" fillId="7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5" fillId="9" borderId="0" xfId="0" applyFont="1" applyFill="1" applyAlignment="1">
      <alignment horizontal="center" vertical="center"/>
    </xf>
  </cellXfs>
  <cellStyles count="3">
    <cellStyle name="Gut" xfId="1" builtinId="26"/>
    <cellStyle name="Schlecht" xfId="2" builtinId="27"/>
    <cellStyle name="Standard" xfId="0" builtinId="0"/>
  </cellStyles>
  <dxfs count="27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460-2F44-9E20-60D4AEB5EC8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460-2F44-9E20-60D4AEB5EC8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Tabelle1!$A$130:$A$131</c:f>
              <c:strCache>
                <c:ptCount val="2"/>
                <c:pt idx="0">
                  <c:v>Erfolgreiche Moprhs:</c:v>
                </c:pt>
                <c:pt idx="1">
                  <c:v>Fehlgeschlagene 
Morphs:</c:v>
                </c:pt>
              </c:strCache>
            </c:strRef>
          </c:cat>
          <c:val>
            <c:numRef>
              <c:f>Tabelle1!$B$130:$B$131</c:f>
              <c:numCache>
                <c:formatCode>General</c:formatCode>
                <c:ptCount val="2"/>
                <c:pt idx="0">
                  <c:v>86</c:v>
                </c:pt>
                <c:pt idx="1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91-C646-B2C8-74FB2D01B10A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Tabelle1!$A$144:$A$149</c:f>
              <c:strCache>
                <c:ptCount val="6"/>
                <c:pt idx="0">
                  <c:v>Low mit Erfolg</c:v>
                </c:pt>
                <c:pt idx="1">
                  <c:v>Low ohne Erfolg</c:v>
                </c:pt>
                <c:pt idx="2">
                  <c:v>Mid mit Erfolg</c:v>
                </c:pt>
                <c:pt idx="3">
                  <c:v>Mid ohne Erfolg</c:v>
                </c:pt>
                <c:pt idx="4">
                  <c:v>Hig mit Erfolg</c:v>
                </c:pt>
                <c:pt idx="5">
                  <c:v>Hig ohne Erfolg</c:v>
                </c:pt>
              </c:strCache>
            </c:strRef>
          </c:cat>
          <c:val>
            <c:numRef>
              <c:f>Tabelle1!$B$144:$B$149</c:f>
              <c:numCache>
                <c:formatCode>General</c:formatCode>
                <c:ptCount val="6"/>
                <c:pt idx="0">
                  <c:v>38</c:v>
                </c:pt>
                <c:pt idx="1">
                  <c:v>2</c:v>
                </c:pt>
                <c:pt idx="2">
                  <c:v>34</c:v>
                </c:pt>
                <c:pt idx="3">
                  <c:v>6</c:v>
                </c:pt>
                <c:pt idx="4">
                  <c:v>14</c:v>
                </c:pt>
                <c:pt idx="5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14-AA45-9C22-DFEED71AD6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81318208"/>
        <c:axId val="977790623"/>
      </c:barChart>
      <c:catAx>
        <c:axId val="1181318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977790623"/>
        <c:crosses val="autoZero"/>
        <c:auto val="1"/>
        <c:lblAlgn val="ctr"/>
        <c:lblOffset val="100"/>
        <c:noMultiLvlLbl val="0"/>
      </c:catAx>
      <c:valAx>
        <c:axId val="977790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813182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2">
                  <a:lumMod val="10000"/>
                  <a:lumOff val="9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B75-CD41-99FE-19536C7FD959}"/>
              </c:ext>
            </c:extLst>
          </c:dPt>
          <c:dPt>
            <c:idx val="1"/>
            <c:invertIfNegative val="0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B75-CD41-99FE-19536C7FD959}"/>
              </c:ext>
            </c:extLst>
          </c:dPt>
          <c:dPt>
            <c:idx val="2"/>
            <c:invertIfNegative val="0"/>
            <c:bubble3D val="0"/>
            <c:spPr>
              <a:solidFill>
                <a:schemeClr val="tx2">
                  <a:lumMod val="90000"/>
                  <a:lumOff val="1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6B75-CD41-99FE-19536C7FD959}"/>
              </c:ext>
            </c:extLst>
          </c:dPt>
          <c:cat>
            <c:strRef>
              <c:f>Tabelle1!$A$161:$A$163</c:f>
              <c:strCache>
                <c:ptCount val="3"/>
                <c:pt idx="0">
                  <c:v>Low true</c:v>
                </c:pt>
                <c:pt idx="1">
                  <c:v>Mid true</c:v>
                </c:pt>
                <c:pt idx="2">
                  <c:v>Hig true</c:v>
                </c:pt>
              </c:strCache>
            </c:strRef>
          </c:cat>
          <c:val>
            <c:numRef>
              <c:f>Tabelle1!$B$161:$B$163</c:f>
              <c:numCache>
                <c:formatCode>General</c:formatCode>
                <c:ptCount val="3"/>
                <c:pt idx="0">
                  <c:v>18</c:v>
                </c:pt>
                <c:pt idx="1">
                  <c:v>15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75-CD41-99FE-19536C7FD9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39671440"/>
        <c:axId val="875355551"/>
      </c:barChart>
      <c:catAx>
        <c:axId val="1639671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75355551"/>
        <c:crosses val="autoZero"/>
        <c:auto val="1"/>
        <c:lblAlgn val="ctr"/>
        <c:lblOffset val="100"/>
        <c:noMultiLvlLbl val="0"/>
      </c:catAx>
      <c:valAx>
        <c:axId val="875355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639671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4DF-1E4E-8B03-A46475ABD0AA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E4DF-1E4E-8B03-A46475ABD0AA}"/>
              </c:ext>
            </c:extLst>
          </c:dPt>
          <c:cat>
            <c:strRef>
              <c:f>Tabelle1!$A$177:$A$179</c:f>
              <c:strCache>
                <c:ptCount val="3"/>
                <c:pt idx="0">
                  <c:v>Low true</c:v>
                </c:pt>
                <c:pt idx="1">
                  <c:v>Mid true</c:v>
                </c:pt>
                <c:pt idx="2">
                  <c:v>Hig true</c:v>
                </c:pt>
              </c:strCache>
            </c:strRef>
          </c:cat>
          <c:val>
            <c:numRef>
              <c:f>Tabelle1!$B$177:$B$179</c:f>
              <c:numCache>
                <c:formatCode>General</c:formatCode>
                <c:ptCount val="3"/>
                <c:pt idx="0">
                  <c:v>20</c:v>
                </c:pt>
                <c:pt idx="1">
                  <c:v>19</c:v>
                </c:pt>
                <c:pt idx="2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DF-1E4E-8B03-A46475ABD0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25274096"/>
        <c:axId val="1624922800"/>
      </c:barChart>
      <c:catAx>
        <c:axId val="1625274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624922800"/>
        <c:crosses val="autoZero"/>
        <c:auto val="1"/>
        <c:lblAlgn val="ctr"/>
        <c:lblOffset val="100"/>
        <c:noMultiLvlLbl val="0"/>
      </c:catAx>
      <c:valAx>
        <c:axId val="1624922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625274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Tabelle1!$E$206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5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E0D-9F4D-BB32-9ED16C6AB223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DE0D-9F4D-BB32-9ED16C6AB223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E0D-9F4D-BB32-9ED16C6AB223}"/>
              </c:ext>
            </c:extLst>
          </c:dPt>
          <c:dPt>
            <c:idx val="5"/>
            <c:invertIfNegative val="0"/>
            <c:bubble3D val="0"/>
            <c:spPr>
              <a:solidFill>
                <a:schemeClr val="tx2">
                  <a:lumMod val="10000"/>
                  <a:lumOff val="9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DE0D-9F4D-BB32-9ED16C6AB223}"/>
              </c:ext>
            </c:extLst>
          </c:dPt>
          <c:dPt>
            <c:idx val="6"/>
            <c:invertIfNegative val="0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DE0D-9F4D-BB32-9ED16C6AB223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2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DE0D-9F4D-BB32-9ED16C6AB223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DE0D-9F4D-BB32-9ED16C6AB223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DE0D-9F4D-BB32-9ED16C6AB223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DE0D-9F4D-BB32-9ED16C6AB223}"/>
              </c:ext>
            </c:extLst>
          </c:dPt>
          <c:dPt>
            <c:idx val="14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DE0D-9F4D-BB32-9ED16C6AB223}"/>
              </c:ext>
            </c:extLst>
          </c:dPt>
          <c:dPt>
            <c:idx val="17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DE0D-9F4D-BB32-9ED16C6AB223}"/>
              </c:ext>
            </c:extLst>
          </c:dPt>
          <c:dPt>
            <c:idx val="18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DE0D-9F4D-BB32-9ED16C6AB223}"/>
              </c:ext>
            </c:extLst>
          </c:dPt>
          <c:cat>
            <c:strRef>
              <c:f>Tabelle1!$D$207:$D$226</c:f>
              <c:strCache>
                <c:ptCount val="20"/>
                <c:pt idx="0">
                  <c:v>Asian:</c:v>
                </c:pt>
                <c:pt idx="1">
                  <c:v>Low</c:v>
                </c:pt>
                <c:pt idx="2">
                  <c:v>Mid</c:v>
                </c:pt>
                <c:pt idx="3">
                  <c:v>Hig</c:v>
                </c:pt>
                <c:pt idx="4">
                  <c:v>Black:</c:v>
                </c:pt>
                <c:pt idx="5">
                  <c:v>Low</c:v>
                </c:pt>
                <c:pt idx="6">
                  <c:v>Mid</c:v>
                </c:pt>
                <c:pt idx="7">
                  <c:v>Hig</c:v>
                </c:pt>
                <c:pt idx="8">
                  <c:v>Indian:</c:v>
                </c:pt>
                <c:pt idx="9">
                  <c:v>Low</c:v>
                </c:pt>
                <c:pt idx="10">
                  <c:v>Mid</c:v>
                </c:pt>
                <c:pt idx="11">
                  <c:v>Hig</c:v>
                </c:pt>
                <c:pt idx="12">
                  <c:v>Latino:</c:v>
                </c:pt>
                <c:pt idx="13">
                  <c:v>Low</c:v>
                </c:pt>
                <c:pt idx="14">
                  <c:v>Mid</c:v>
                </c:pt>
                <c:pt idx="15">
                  <c:v>Hig</c:v>
                </c:pt>
                <c:pt idx="16">
                  <c:v>White:</c:v>
                </c:pt>
                <c:pt idx="17">
                  <c:v>Low</c:v>
                </c:pt>
                <c:pt idx="18">
                  <c:v>Mid</c:v>
                </c:pt>
                <c:pt idx="19">
                  <c:v>Hig</c:v>
                </c:pt>
              </c:strCache>
            </c:strRef>
          </c:cat>
          <c:val>
            <c:numRef>
              <c:f>Tabelle1!$E$207:$E$226</c:f>
              <c:numCache>
                <c:formatCode>General</c:formatCode>
                <c:ptCount val="20"/>
                <c:pt idx="1">
                  <c:v>4</c:v>
                </c:pt>
                <c:pt idx="2">
                  <c:v>4</c:v>
                </c:pt>
                <c:pt idx="3">
                  <c:v>1</c:v>
                </c:pt>
                <c:pt idx="5">
                  <c:v>4</c:v>
                </c:pt>
                <c:pt idx="6">
                  <c:v>4</c:v>
                </c:pt>
                <c:pt idx="7">
                  <c:v>0</c:v>
                </c:pt>
                <c:pt idx="9">
                  <c:v>4</c:v>
                </c:pt>
                <c:pt idx="10">
                  <c:v>2</c:v>
                </c:pt>
                <c:pt idx="11">
                  <c:v>1</c:v>
                </c:pt>
                <c:pt idx="13">
                  <c:v>4</c:v>
                </c:pt>
                <c:pt idx="14">
                  <c:v>4</c:v>
                </c:pt>
                <c:pt idx="15">
                  <c:v>0</c:v>
                </c:pt>
                <c:pt idx="17">
                  <c:v>2</c:v>
                </c:pt>
                <c:pt idx="18">
                  <c:v>1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0D-9F4D-BB32-9ED16C6AB2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05875568"/>
        <c:axId val="2005008976"/>
      </c:barChart>
      <c:catAx>
        <c:axId val="2005875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005008976"/>
        <c:crosses val="autoZero"/>
        <c:auto val="1"/>
        <c:lblAlgn val="ctr"/>
        <c:lblOffset val="100"/>
        <c:noMultiLvlLbl val="0"/>
      </c:catAx>
      <c:valAx>
        <c:axId val="2005008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005875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Tabelle1!$A$243:$A$244</c:f>
              <c:strCache>
                <c:ptCount val="2"/>
                <c:pt idx="0">
                  <c:v>Man</c:v>
                </c:pt>
                <c:pt idx="1">
                  <c:v>Frau</c:v>
                </c:pt>
              </c:strCache>
            </c:strRef>
          </c:cat>
          <c:val>
            <c:numRef>
              <c:f>Tabelle1!$B$243:$B$244</c:f>
              <c:numCache>
                <c:formatCode>General</c:formatCode>
                <c:ptCount val="2"/>
                <c:pt idx="0">
                  <c:v>19</c:v>
                </c:pt>
                <c:pt idx="1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7A-A74B-AF1E-409C49286B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5984671"/>
        <c:axId val="845813327"/>
      </c:barChart>
      <c:catAx>
        <c:axId val="845984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45813327"/>
        <c:crosses val="autoZero"/>
        <c:auto val="1"/>
        <c:lblAlgn val="ctr"/>
        <c:lblOffset val="100"/>
        <c:noMultiLvlLbl val="0"/>
      </c:catAx>
      <c:valAx>
        <c:axId val="845813327"/>
        <c:scaling>
          <c:orientation val="minMax"/>
          <c:max val="3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459846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Tabelle1!$B$263</c:f>
              <c:strCache>
                <c:ptCount val="1"/>
                <c:pt idx="0">
                  <c:v>Spalte2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Tabelle1!$A$264:$A$265</c:f>
              <c:strCache>
                <c:ptCount val="2"/>
                <c:pt idx="0">
                  <c:v>20-30</c:v>
                </c:pt>
                <c:pt idx="1">
                  <c:v>30-40</c:v>
                </c:pt>
              </c:strCache>
            </c:strRef>
          </c:cat>
          <c:val>
            <c:numRef>
              <c:f>Tabelle1!$B$264:$B$265</c:f>
              <c:numCache>
                <c:formatCode>General</c:formatCode>
                <c:ptCount val="2"/>
                <c:pt idx="0">
                  <c:v>17</c:v>
                </c:pt>
                <c:pt idx="1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95-544F-8E76-C75DC7574E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56478351"/>
        <c:axId val="1185221072"/>
      </c:barChart>
      <c:catAx>
        <c:axId val="1256478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85221072"/>
        <c:crosses val="autoZero"/>
        <c:auto val="1"/>
        <c:lblAlgn val="ctr"/>
        <c:lblOffset val="100"/>
        <c:noMultiLvlLbl val="0"/>
      </c:catAx>
      <c:valAx>
        <c:axId val="1185221072"/>
        <c:scaling>
          <c:orientation val="minMax"/>
          <c:max val="3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2564783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DD27-0948-AEB2-3B2CCDCF4E82}"/>
              </c:ext>
            </c:extLst>
          </c:dPt>
          <c:cat>
            <c:strRef>
              <c:f>Tabelle1!$G$170:$G$171</c:f>
              <c:strCache>
                <c:ptCount val="2"/>
                <c:pt idx="0">
                  <c:v>Selber Hintergrund</c:v>
                </c:pt>
                <c:pt idx="1">
                  <c:v>Unterschiedlicher 
Hintergrund</c:v>
                </c:pt>
              </c:strCache>
            </c:strRef>
          </c:cat>
          <c:val>
            <c:numRef>
              <c:f>Tabelle1!$H$170:$H$171</c:f>
              <c:numCache>
                <c:formatCode>General</c:formatCode>
                <c:ptCount val="2"/>
                <c:pt idx="0">
                  <c:v>51</c:v>
                </c:pt>
                <c:pt idx="1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27-0948-AEB2-3B2CCDCF4E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5947392"/>
        <c:axId val="106405680"/>
      </c:barChart>
      <c:catAx>
        <c:axId val="105947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6405680"/>
        <c:crosses val="autoZero"/>
        <c:auto val="1"/>
        <c:lblAlgn val="ctr"/>
        <c:lblOffset val="100"/>
        <c:noMultiLvlLbl val="0"/>
      </c:catAx>
      <c:valAx>
        <c:axId val="106405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59473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104408</xdr:colOff>
      <xdr:row>124</xdr:row>
      <xdr:rowOff>51043</xdr:rowOff>
    </xdr:from>
    <xdr:to>
      <xdr:col>5</xdr:col>
      <xdr:colOff>371841</xdr:colOff>
      <xdr:row>136</xdr:row>
      <xdr:rowOff>144339</xdr:rowOff>
    </xdr:to>
    <xdr:graphicFrame macro="">
      <xdr:nvGraphicFramePr>
        <xdr:cNvPr id="5" name="Diagramm 4">
          <a:extLst>
            <a:ext uri="{FF2B5EF4-FFF2-40B4-BE49-F238E27FC236}">
              <a16:creationId xmlns:a16="http://schemas.microsoft.com/office/drawing/2014/main" id="{68B545E8-139B-87D1-C94E-88F59F9748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727363</xdr:colOff>
      <xdr:row>139</xdr:row>
      <xdr:rowOff>158173</xdr:rowOff>
    </xdr:from>
    <xdr:to>
      <xdr:col>5</xdr:col>
      <xdr:colOff>1004454</xdr:colOff>
      <xdr:row>152</xdr:row>
      <xdr:rowOff>199737</xdr:rowOff>
    </xdr:to>
    <xdr:graphicFrame macro="">
      <xdr:nvGraphicFramePr>
        <xdr:cNvPr id="7" name="Diagramm 6">
          <a:extLst>
            <a:ext uri="{FF2B5EF4-FFF2-40B4-BE49-F238E27FC236}">
              <a16:creationId xmlns:a16="http://schemas.microsoft.com/office/drawing/2014/main" id="{E26202F3-F838-3390-3214-F2A28FD973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487680</xdr:colOff>
      <xdr:row>156</xdr:row>
      <xdr:rowOff>91440</xdr:rowOff>
    </xdr:from>
    <xdr:to>
      <xdr:col>5</xdr:col>
      <xdr:colOff>762000</xdr:colOff>
      <xdr:row>171</xdr:row>
      <xdr:rowOff>5080</xdr:rowOff>
    </xdr:to>
    <xdr:graphicFrame macro="">
      <xdr:nvGraphicFramePr>
        <xdr:cNvPr id="9" name="Diagramm 8">
          <a:extLst>
            <a:ext uri="{FF2B5EF4-FFF2-40B4-BE49-F238E27FC236}">
              <a16:creationId xmlns:a16="http://schemas.microsoft.com/office/drawing/2014/main" id="{8294306D-1C53-A1B4-5B3A-A993536A40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457200</xdr:colOff>
      <xdr:row>172</xdr:row>
      <xdr:rowOff>193040</xdr:rowOff>
    </xdr:from>
    <xdr:to>
      <xdr:col>5</xdr:col>
      <xdr:colOff>731520</xdr:colOff>
      <xdr:row>188</xdr:row>
      <xdr:rowOff>81280</xdr:rowOff>
    </xdr:to>
    <xdr:graphicFrame macro="">
      <xdr:nvGraphicFramePr>
        <xdr:cNvPr id="10" name="Diagramm 9">
          <a:extLst>
            <a:ext uri="{FF2B5EF4-FFF2-40B4-BE49-F238E27FC236}">
              <a16:creationId xmlns:a16="http://schemas.microsoft.com/office/drawing/2014/main" id="{48782B28-C82D-D754-EEA9-68B2585552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101600</xdr:colOff>
      <xdr:row>202</xdr:row>
      <xdr:rowOff>177800</xdr:rowOff>
    </xdr:from>
    <xdr:to>
      <xdr:col>13</xdr:col>
      <xdr:colOff>927100</xdr:colOff>
      <xdr:row>233</xdr:row>
      <xdr:rowOff>101600</xdr:rowOff>
    </xdr:to>
    <xdr:graphicFrame macro="">
      <xdr:nvGraphicFramePr>
        <xdr:cNvPr id="14" name="Diagramm 13">
          <a:extLst>
            <a:ext uri="{FF2B5EF4-FFF2-40B4-BE49-F238E27FC236}">
              <a16:creationId xmlns:a16="http://schemas.microsoft.com/office/drawing/2014/main" id="{BB1AA819-4AD3-6D26-B503-2EBD1E8141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861688</xdr:colOff>
      <xdr:row>234</xdr:row>
      <xdr:rowOff>185174</xdr:rowOff>
    </xdr:from>
    <xdr:to>
      <xdr:col>5</xdr:col>
      <xdr:colOff>996882</xdr:colOff>
      <xdr:row>253</xdr:row>
      <xdr:rowOff>177528</xdr:rowOff>
    </xdr:to>
    <xdr:graphicFrame macro="">
      <xdr:nvGraphicFramePr>
        <xdr:cNvPr id="15" name="Diagramm 14">
          <a:extLst>
            <a:ext uri="{FF2B5EF4-FFF2-40B4-BE49-F238E27FC236}">
              <a16:creationId xmlns:a16="http://schemas.microsoft.com/office/drawing/2014/main" id="{A394C1B1-9521-0DAD-CB16-846DE0D40E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813893</xdr:colOff>
      <xdr:row>256</xdr:row>
      <xdr:rowOff>308077</xdr:rowOff>
    </xdr:from>
    <xdr:to>
      <xdr:col>5</xdr:col>
      <xdr:colOff>245806</xdr:colOff>
      <xdr:row>272</xdr:row>
      <xdr:rowOff>150215</xdr:rowOff>
    </xdr:to>
    <xdr:graphicFrame macro="">
      <xdr:nvGraphicFramePr>
        <xdr:cNvPr id="16" name="Diagramm 15">
          <a:extLst>
            <a:ext uri="{FF2B5EF4-FFF2-40B4-BE49-F238E27FC236}">
              <a16:creationId xmlns:a16="http://schemas.microsoft.com/office/drawing/2014/main" id="{E7A58E02-A530-D054-58D4-407FFB21A4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152977</xdr:colOff>
      <xdr:row>165</xdr:row>
      <xdr:rowOff>162983</xdr:rowOff>
    </xdr:from>
    <xdr:to>
      <xdr:col>10</xdr:col>
      <xdr:colOff>837046</xdr:colOff>
      <xdr:row>174</xdr:row>
      <xdr:rowOff>183380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88D0ACFF-8E20-68CD-C3C3-5F8AD77B11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90D5FEE-3E08-9349-8309-873E22A062B2}" name="Tabelle1" displayName="Tabelle1" ref="A197:B200" totalsRowShown="0">
  <autoFilter ref="A197:B200" xr:uid="{690D5FEE-3E08-9349-8309-873E22A062B2}"/>
  <tableColumns count="2">
    <tableColumn id="1" xr3:uid="{5A581546-72BB-8146-B0EE-EF8FEF7CE829}" name="Spalte1" dataDxfId="26"/>
    <tableColumn id="2" xr3:uid="{19072A7F-8198-9E4B-BF9B-F11B30A235D0}" name="Spalte2" dataDxfId="2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BBEF0DB-06D6-BF4C-AFFB-49DADCB5695C}" name="Tabelle2" displayName="Tabelle2" ref="A176:B179" totalsRowShown="0">
  <autoFilter ref="A176:B179" xr:uid="{1BBEF0DB-06D6-BF4C-AFFB-49DADCB5695C}"/>
  <tableColumns count="2">
    <tableColumn id="1" xr3:uid="{A699B057-F5A0-5842-A5F2-10EFE4BFAD52}" name="Spalte1" dataDxfId="24"/>
    <tableColumn id="2" xr3:uid="{E6753B4B-7557-8B46-A9FB-D537D852D17E}" name="Spalte2" dataDxfId="2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264B0F8-8FC5-C44A-A58C-308EA537AE75}" name="Tabelle3" displayName="Tabelle3" ref="A160:B163" totalsRowShown="0">
  <autoFilter ref="A160:B163" xr:uid="{D264B0F8-8FC5-C44A-A58C-308EA537AE75}"/>
  <tableColumns count="2">
    <tableColumn id="1" xr3:uid="{9DBCE19D-EE32-FF47-9B2B-EED5005858FB}" name="Spalte1" dataDxfId="22"/>
    <tableColumn id="2" xr3:uid="{C29FD2B3-E862-424E-BF72-E7E8F84DC938}" name="Spalte2" dataDxfId="2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F35E697-8C04-8D4C-8A02-39D1F6C1F2E9}" name="Tabelle17" displayName="Tabelle17" ref="A206:B209" totalsRowShown="0">
  <autoFilter ref="A206:B209" xr:uid="{CF35E697-8C04-8D4C-8A02-39D1F6C1F2E9}"/>
  <tableColumns count="2">
    <tableColumn id="1" xr3:uid="{D6BDFF95-C668-5C4C-9F13-5444EACBA64A}" name="Spalte1" dataDxfId="20"/>
    <tableColumn id="2" xr3:uid="{A9B806ED-D1CF-DA49-9384-6CC0EE967734}" name="Spalte2" dataDxfId="19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F178B19-2EBD-194D-B32E-B3EBC7E63A2E}" name="Tabelle178" displayName="Tabelle178" ref="A215:B218" totalsRowShown="0">
  <autoFilter ref="A215:B218" xr:uid="{3F178B19-2EBD-194D-B32E-B3EBC7E63A2E}"/>
  <tableColumns count="2">
    <tableColumn id="1" xr3:uid="{87789970-1972-0642-8CE0-94B42046EBC8}" name="Spalte1" dataDxfId="18"/>
    <tableColumn id="2" xr3:uid="{CE33BCD1-74B7-FF43-A440-ABD5138F8E82}" name="Spalte2" dataDxfId="17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D87EE29-B3D0-7740-90E8-3E1D9E7C8D17}" name="Tabelle10" displayName="Tabelle10" ref="A223:B226" totalsRowShown="0" headerRowDxfId="16" dataDxfId="15" tableBorderDxfId="14" dataCellStyle="Standard">
  <autoFilter ref="A223:B226" xr:uid="{9D87EE29-B3D0-7740-90E8-3E1D9E7C8D17}"/>
  <tableColumns count="2">
    <tableColumn id="1" xr3:uid="{8FF92EEC-9432-C641-B7FE-1BB696D1CD83}" name="Spalte1" dataDxfId="13" dataCellStyle="Standard"/>
    <tableColumn id="2" xr3:uid="{ECE6D1EA-1AD6-6240-A14D-BA36B7A511BE}" name="Spalte2" dataDxfId="12" dataCellStyle="Standard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88697EEA-2683-794E-8030-BD24ECD65B08}" name="Tabelle11" displayName="Tabelle11" ref="A231:B234" totalsRowShown="0" headerRowDxfId="11" dataDxfId="10">
  <autoFilter ref="A231:B234" xr:uid="{88697EEA-2683-794E-8030-BD24ECD65B08}"/>
  <tableColumns count="2">
    <tableColumn id="1" xr3:uid="{B19A7482-D677-5E45-912F-3366E0E17A53}" name="Spalte1" dataDxfId="9"/>
    <tableColumn id="2" xr3:uid="{335E9F4F-30A2-834E-9173-834131AFA280}" name="Spalte2" dataDxfId="8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918BE932-4829-E848-8BFA-F9C2CDB059BC}" name="Tabelle12" displayName="Tabelle12" ref="A242:B244" totalsRowShown="0" headerRowDxfId="7" dataDxfId="6">
  <autoFilter ref="A242:B244" xr:uid="{918BE932-4829-E848-8BFA-F9C2CDB059BC}"/>
  <tableColumns count="2">
    <tableColumn id="1" xr3:uid="{32933E8B-3554-794A-AC32-FB92ADA5C69F}" name="Spalte1" dataDxfId="5"/>
    <tableColumn id="2" xr3:uid="{781A3187-0998-0D43-A1E3-E3DD786D6502}" name="Spalte2" dataDxfId="4">
      <calculatedColumnFormula>COUNTIFS(C1:C120, "Woman", H1:H120, "True", I1:I120, "D")</calculatedColumnFormula>
    </tableColumn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5CBE8236-0976-8F41-8E83-42626148532D}" name="Tabelle13" displayName="Tabelle13" ref="A263:B265" totalsRowShown="0" headerRowDxfId="3" dataDxfId="2">
  <autoFilter ref="A263:B265" xr:uid="{5CBE8236-0976-8F41-8E83-42626148532D}"/>
  <tableColumns count="2">
    <tableColumn id="1" xr3:uid="{DA27F37D-ECC4-9247-B520-4773B2097D48}" name="Spalte1" dataDxfId="1"/>
    <tableColumn id="2" xr3:uid="{CA3B673D-2F9E-B84B-9875-CD2D9D1C2E37}" name="Spalte2" dataDxfId="0">
      <calculatedColumnFormula>COUNTIFS(D1:D120, "30-40", H1:H120, "True", I1:I120, "D")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10" Type="http://schemas.openxmlformats.org/officeDocument/2006/relationships/table" Target="../tables/table9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37269-5730-0745-BDE6-3F3B154E2F73}">
  <dimension ref="A1:K265"/>
  <sheetViews>
    <sheetView tabSelected="1" zoomScale="132" zoomScaleNormal="170" workbookViewId="0">
      <pane ySplit="1" topLeftCell="A2" activePane="bottomLeft" state="frozen"/>
      <selection pane="bottomLeft" activeCell="K2" sqref="K2"/>
    </sheetView>
  </sheetViews>
  <sheetFormatPr baseColWidth="10" defaultColWidth="18.83203125" defaultRowHeight="16" x14ac:dyDescent="0.2"/>
  <cols>
    <col min="1" max="8" width="18.83203125" style="1"/>
    <col min="10" max="16384" width="18.83203125" style="1"/>
  </cols>
  <sheetData>
    <row r="1" spans="1:11" x14ac:dyDescent="0.2">
      <c r="A1" s="2" t="s">
        <v>189</v>
      </c>
      <c r="B1" s="2" t="s">
        <v>0</v>
      </c>
      <c r="C1" s="2" t="s">
        <v>1</v>
      </c>
      <c r="D1" s="2" t="s">
        <v>2</v>
      </c>
      <c r="E1" s="2" t="s">
        <v>188</v>
      </c>
      <c r="F1" s="2" t="s">
        <v>3</v>
      </c>
      <c r="G1" s="2" t="s">
        <v>4</v>
      </c>
      <c r="H1" s="2" t="s">
        <v>5</v>
      </c>
      <c r="I1" s="2" t="s">
        <v>210</v>
      </c>
      <c r="J1" s="2" t="s">
        <v>190</v>
      </c>
    </row>
    <row r="2" spans="1:11" x14ac:dyDescent="0.2">
      <c r="A2" s="3" t="s">
        <v>6</v>
      </c>
      <c r="B2" s="3" t="s">
        <v>9</v>
      </c>
      <c r="C2" s="3" t="s">
        <v>10</v>
      </c>
      <c r="D2" s="3" t="s">
        <v>11</v>
      </c>
      <c r="E2" s="3" t="s">
        <v>12</v>
      </c>
      <c r="F2" s="3">
        <v>101</v>
      </c>
      <c r="G2" s="3" t="s">
        <v>16</v>
      </c>
      <c r="H2" s="8" t="s">
        <v>15</v>
      </c>
      <c r="I2" s="3" t="s">
        <v>212</v>
      </c>
      <c r="J2" s="3">
        <v>1</v>
      </c>
      <c r="K2" s="1" t="s">
        <v>239</v>
      </c>
    </row>
    <row r="3" spans="1:11" x14ac:dyDescent="0.2">
      <c r="A3" s="3" t="s">
        <v>6</v>
      </c>
      <c r="B3" s="3" t="s">
        <v>9</v>
      </c>
      <c r="C3" s="3" t="s">
        <v>10</v>
      </c>
      <c r="D3" s="3" t="s">
        <v>11</v>
      </c>
      <c r="E3" s="3" t="s">
        <v>12</v>
      </c>
      <c r="F3" s="3">
        <v>105</v>
      </c>
      <c r="G3" s="3" t="s">
        <v>17</v>
      </c>
      <c r="H3" s="8" t="s">
        <v>15</v>
      </c>
      <c r="I3" s="3" t="s">
        <v>211</v>
      </c>
      <c r="J3" s="3">
        <v>2</v>
      </c>
    </row>
    <row r="4" spans="1:11" x14ac:dyDescent="0.2">
      <c r="A4" s="3" t="s">
        <v>7</v>
      </c>
      <c r="B4" s="3" t="s">
        <v>9</v>
      </c>
      <c r="C4" s="3" t="s">
        <v>10</v>
      </c>
      <c r="D4" s="3" t="s">
        <v>11</v>
      </c>
      <c r="E4" s="3" t="s">
        <v>13</v>
      </c>
      <c r="F4" s="3">
        <v>101</v>
      </c>
      <c r="G4" s="3" t="s">
        <v>18</v>
      </c>
      <c r="H4" s="8" t="s">
        <v>15</v>
      </c>
      <c r="I4" s="3" t="s">
        <v>212</v>
      </c>
      <c r="J4" s="3">
        <v>3</v>
      </c>
    </row>
    <row r="5" spans="1:11" x14ac:dyDescent="0.2">
      <c r="A5" s="3" t="s">
        <v>7</v>
      </c>
      <c r="B5" s="3" t="s">
        <v>9</v>
      </c>
      <c r="C5" s="3" t="s">
        <v>10</v>
      </c>
      <c r="D5" s="3" t="s">
        <v>11</v>
      </c>
      <c r="E5" s="3" t="s">
        <v>13</v>
      </c>
      <c r="F5" s="3">
        <v>578</v>
      </c>
      <c r="G5" s="3" t="s">
        <v>19</v>
      </c>
      <c r="H5" s="8" t="s">
        <v>15</v>
      </c>
      <c r="I5" s="3" t="s">
        <v>211</v>
      </c>
      <c r="J5" s="3">
        <v>4</v>
      </c>
    </row>
    <row r="6" spans="1:11" x14ac:dyDescent="0.2">
      <c r="A6" s="3" t="s">
        <v>8</v>
      </c>
      <c r="B6" s="3" t="s">
        <v>9</v>
      </c>
      <c r="C6" s="3" t="s">
        <v>10</v>
      </c>
      <c r="D6" s="3" t="s">
        <v>11</v>
      </c>
      <c r="E6" s="3" t="s">
        <v>14</v>
      </c>
      <c r="F6" s="3">
        <v>101</v>
      </c>
      <c r="G6" s="3" t="s">
        <v>21</v>
      </c>
      <c r="H6" s="9" t="s">
        <v>20</v>
      </c>
      <c r="I6" s="3" t="s">
        <v>212</v>
      </c>
      <c r="J6" s="3">
        <v>5</v>
      </c>
    </row>
    <row r="7" spans="1:11" x14ac:dyDescent="0.2">
      <c r="A7" s="11" t="s">
        <v>8</v>
      </c>
      <c r="B7" s="11" t="s">
        <v>9</v>
      </c>
      <c r="C7" s="11" t="s">
        <v>10</v>
      </c>
      <c r="D7" s="11" t="s">
        <v>11</v>
      </c>
      <c r="E7" s="11" t="s">
        <v>14</v>
      </c>
      <c r="F7" s="11">
        <v>560</v>
      </c>
      <c r="G7" s="11" t="s">
        <v>22</v>
      </c>
      <c r="H7" s="14" t="s">
        <v>20</v>
      </c>
      <c r="I7" s="11" t="s">
        <v>211</v>
      </c>
      <c r="J7" s="11">
        <v>6</v>
      </c>
    </row>
    <row r="8" spans="1:11" x14ac:dyDescent="0.2">
      <c r="A8" s="4" t="s">
        <v>23</v>
      </c>
      <c r="B8" s="4" t="s">
        <v>9</v>
      </c>
      <c r="C8" s="4" t="s">
        <v>10</v>
      </c>
      <c r="D8" s="4" t="s">
        <v>26</v>
      </c>
      <c r="E8" s="4" t="s">
        <v>12</v>
      </c>
      <c r="F8" s="4">
        <v>779</v>
      </c>
      <c r="G8" s="4" t="s">
        <v>27</v>
      </c>
      <c r="H8" s="8" t="s">
        <v>15</v>
      </c>
      <c r="I8" s="4" t="s">
        <v>212</v>
      </c>
      <c r="J8" s="4">
        <v>7</v>
      </c>
    </row>
    <row r="9" spans="1:11" x14ac:dyDescent="0.2">
      <c r="A9" s="4" t="s">
        <v>23</v>
      </c>
      <c r="B9" s="4" t="s">
        <v>9</v>
      </c>
      <c r="C9" s="4" t="s">
        <v>10</v>
      </c>
      <c r="D9" s="4" t="s">
        <v>26</v>
      </c>
      <c r="E9" s="4" t="s">
        <v>12</v>
      </c>
      <c r="F9" s="4">
        <v>273</v>
      </c>
      <c r="G9" s="4" t="s">
        <v>28</v>
      </c>
      <c r="H9" s="8" t="s">
        <v>15</v>
      </c>
      <c r="I9" s="4" t="s">
        <v>211</v>
      </c>
      <c r="J9" s="4">
        <v>8</v>
      </c>
    </row>
    <row r="10" spans="1:11" x14ac:dyDescent="0.2">
      <c r="A10" s="4" t="s">
        <v>24</v>
      </c>
      <c r="B10" s="4" t="s">
        <v>9</v>
      </c>
      <c r="C10" s="4" t="s">
        <v>10</v>
      </c>
      <c r="D10" s="4" t="s">
        <v>26</v>
      </c>
      <c r="E10" s="4" t="s">
        <v>13</v>
      </c>
      <c r="F10" s="4">
        <v>779</v>
      </c>
      <c r="G10" s="4" t="s">
        <v>29</v>
      </c>
      <c r="H10" s="8" t="s">
        <v>15</v>
      </c>
      <c r="I10" s="4" t="s">
        <v>212</v>
      </c>
      <c r="J10" s="4">
        <v>9</v>
      </c>
    </row>
    <row r="11" spans="1:11" x14ac:dyDescent="0.2">
      <c r="A11" s="4" t="s">
        <v>24</v>
      </c>
      <c r="B11" s="4" t="s">
        <v>9</v>
      </c>
      <c r="C11" s="4" t="s">
        <v>10</v>
      </c>
      <c r="D11" s="4" t="s">
        <v>26</v>
      </c>
      <c r="E11" s="4" t="s">
        <v>13</v>
      </c>
      <c r="F11" s="4">
        <v>56</v>
      </c>
      <c r="G11" s="4" t="s">
        <v>30</v>
      </c>
      <c r="H11" s="8" t="s">
        <v>15</v>
      </c>
      <c r="I11" s="4" t="s">
        <v>211</v>
      </c>
      <c r="J11" s="4">
        <v>10</v>
      </c>
    </row>
    <row r="12" spans="1:11" x14ac:dyDescent="0.2">
      <c r="A12" s="4" t="s">
        <v>25</v>
      </c>
      <c r="B12" s="4" t="s">
        <v>9</v>
      </c>
      <c r="C12" s="4" t="s">
        <v>10</v>
      </c>
      <c r="D12" s="4" t="s">
        <v>26</v>
      </c>
      <c r="E12" s="4" t="s">
        <v>14</v>
      </c>
      <c r="F12" s="4">
        <v>779</v>
      </c>
      <c r="G12" s="4" t="s">
        <v>31</v>
      </c>
      <c r="H12" s="8" t="s">
        <v>15</v>
      </c>
      <c r="I12" s="4" t="s">
        <v>212</v>
      </c>
      <c r="J12" s="4">
        <v>11</v>
      </c>
    </row>
    <row r="13" spans="1:11" x14ac:dyDescent="0.2">
      <c r="A13" s="27" t="s">
        <v>25</v>
      </c>
      <c r="B13" s="12" t="s">
        <v>9</v>
      </c>
      <c r="C13" s="12" t="s">
        <v>10</v>
      </c>
      <c r="D13" s="12" t="s">
        <v>26</v>
      </c>
      <c r="E13" s="12" t="s">
        <v>14</v>
      </c>
      <c r="F13" s="12">
        <v>241</v>
      </c>
      <c r="G13" s="12" t="s">
        <v>32</v>
      </c>
      <c r="H13" s="14" t="s">
        <v>20</v>
      </c>
      <c r="I13" s="12" t="s">
        <v>211</v>
      </c>
      <c r="J13" s="12">
        <v>12</v>
      </c>
    </row>
    <row r="14" spans="1:11" x14ac:dyDescent="0.2">
      <c r="A14" s="5" t="s">
        <v>33</v>
      </c>
      <c r="B14" s="5" t="s">
        <v>9</v>
      </c>
      <c r="C14" s="5" t="s">
        <v>36</v>
      </c>
      <c r="D14" s="5" t="s">
        <v>11</v>
      </c>
      <c r="E14" s="5" t="s">
        <v>12</v>
      </c>
      <c r="F14" s="5">
        <v>7</v>
      </c>
      <c r="G14" s="5" t="s">
        <v>37</v>
      </c>
      <c r="H14" s="8" t="s">
        <v>15</v>
      </c>
      <c r="I14" s="5" t="s">
        <v>212</v>
      </c>
      <c r="J14" s="5">
        <v>13</v>
      </c>
    </row>
    <row r="15" spans="1:11" x14ac:dyDescent="0.2">
      <c r="A15" s="5" t="s">
        <v>33</v>
      </c>
      <c r="B15" s="5" t="s">
        <v>9</v>
      </c>
      <c r="C15" s="5" t="s">
        <v>36</v>
      </c>
      <c r="D15" s="5" t="s">
        <v>11</v>
      </c>
      <c r="E15" s="5" t="s">
        <v>12</v>
      </c>
      <c r="F15" s="5">
        <v>658</v>
      </c>
      <c r="G15" s="5" t="s">
        <v>38</v>
      </c>
      <c r="H15" s="8" t="s">
        <v>15</v>
      </c>
      <c r="I15" s="5" t="s">
        <v>211</v>
      </c>
      <c r="J15" s="5">
        <v>14</v>
      </c>
    </row>
    <row r="16" spans="1:11" x14ac:dyDescent="0.2">
      <c r="A16" s="5" t="s">
        <v>35</v>
      </c>
      <c r="B16" s="5" t="s">
        <v>9</v>
      </c>
      <c r="C16" s="5" t="s">
        <v>36</v>
      </c>
      <c r="D16" s="5" t="s">
        <v>11</v>
      </c>
      <c r="E16" s="5" t="s">
        <v>13</v>
      </c>
      <c r="F16" s="5">
        <v>7</v>
      </c>
      <c r="G16" s="5" t="s">
        <v>39</v>
      </c>
      <c r="H16" s="8" t="s">
        <v>15</v>
      </c>
      <c r="I16" s="5" t="s">
        <v>212</v>
      </c>
      <c r="J16" s="5">
        <v>15</v>
      </c>
    </row>
    <row r="17" spans="1:10" x14ac:dyDescent="0.2">
      <c r="A17" s="5" t="s">
        <v>35</v>
      </c>
      <c r="B17" s="5" t="s">
        <v>9</v>
      </c>
      <c r="C17" s="5" t="s">
        <v>36</v>
      </c>
      <c r="D17" s="5" t="s">
        <v>11</v>
      </c>
      <c r="E17" s="5" t="s">
        <v>13</v>
      </c>
      <c r="F17" s="5">
        <v>746</v>
      </c>
      <c r="G17" s="5" t="s">
        <v>40</v>
      </c>
      <c r="H17" s="8" t="s">
        <v>15</v>
      </c>
      <c r="I17" s="5" t="s">
        <v>211</v>
      </c>
      <c r="J17" s="5">
        <v>16</v>
      </c>
    </row>
    <row r="18" spans="1:10" x14ac:dyDescent="0.2">
      <c r="A18" s="5" t="s">
        <v>34</v>
      </c>
      <c r="B18" s="5" t="s">
        <v>9</v>
      </c>
      <c r="C18" s="5" t="s">
        <v>36</v>
      </c>
      <c r="D18" s="5" t="s">
        <v>11</v>
      </c>
      <c r="E18" s="5" t="s">
        <v>14</v>
      </c>
      <c r="F18" s="5">
        <v>7</v>
      </c>
      <c r="G18" s="5" t="s">
        <v>41</v>
      </c>
      <c r="H18" s="9" t="s">
        <v>20</v>
      </c>
      <c r="I18" s="5" t="s">
        <v>212</v>
      </c>
      <c r="J18" s="5">
        <v>17</v>
      </c>
    </row>
    <row r="19" spans="1:10" x14ac:dyDescent="0.2">
      <c r="A19" s="13" t="s">
        <v>34</v>
      </c>
      <c r="B19" s="13" t="s">
        <v>9</v>
      </c>
      <c r="C19" s="13" t="s">
        <v>36</v>
      </c>
      <c r="D19" s="13" t="s">
        <v>11</v>
      </c>
      <c r="E19" s="13" t="s">
        <v>14</v>
      </c>
      <c r="F19" s="13">
        <v>25</v>
      </c>
      <c r="G19" s="13" t="s">
        <v>42</v>
      </c>
      <c r="H19" s="14" t="s">
        <v>20</v>
      </c>
      <c r="I19" s="13" t="s">
        <v>211</v>
      </c>
      <c r="J19" s="13">
        <v>18</v>
      </c>
    </row>
    <row r="20" spans="1:10" x14ac:dyDescent="0.2">
      <c r="A20" s="6" t="s">
        <v>44</v>
      </c>
      <c r="B20" s="6" t="s">
        <v>9</v>
      </c>
      <c r="C20" s="6" t="s">
        <v>36</v>
      </c>
      <c r="D20" s="6" t="s">
        <v>26</v>
      </c>
      <c r="E20" s="6" t="s">
        <v>12</v>
      </c>
      <c r="F20" s="6">
        <v>916</v>
      </c>
      <c r="G20" s="6" t="s">
        <v>43</v>
      </c>
      <c r="H20" s="8" t="s">
        <v>15</v>
      </c>
      <c r="I20" s="6" t="s">
        <v>212</v>
      </c>
      <c r="J20" s="6">
        <v>19</v>
      </c>
    </row>
    <row r="21" spans="1:10" x14ac:dyDescent="0.2">
      <c r="A21" s="6" t="s">
        <v>44</v>
      </c>
      <c r="B21" s="6" t="s">
        <v>9</v>
      </c>
      <c r="C21" s="6" t="s">
        <v>36</v>
      </c>
      <c r="D21" s="6" t="s">
        <v>26</v>
      </c>
      <c r="E21" s="6" t="s">
        <v>12</v>
      </c>
      <c r="F21" s="6">
        <v>639</v>
      </c>
      <c r="G21" s="6" t="s">
        <v>47</v>
      </c>
      <c r="H21" s="8" t="s">
        <v>15</v>
      </c>
      <c r="I21" s="6" t="s">
        <v>211</v>
      </c>
      <c r="J21" s="6">
        <v>20</v>
      </c>
    </row>
    <row r="22" spans="1:10" x14ac:dyDescent="0.2">
      <c r="A22" s="6" t="s">
        <v>45</v>
      </c>
      <c r="B22" s="6" t="s">
        <v>9</v>
      </c>
      <c r="C22" s="6" t="s">
        <v>36</v>
      </c>
      <c r="D22" s="6" t="s">
        <v>26</v>
      </c>
      <c r="E22" s="6" t="s">
        <v>13</v>
      </c>
      <c r="F22" s="6">
        <v>916</v>
      </c>
      <c r="G22" s="6" t="s">
        <v>48</v>
      </c>
      <c r="H22" s="8" t="s">
        <v>15</v>
      </c>
      <c r="I22" s="6" t="s">
        <v>212</v>
      </c>
      <c r="J22" s="6">
        <v>21</v>
      </c>
    </row>
    <row r="23" spans="1:10" x14ac:dyDescent="0.2">
      <c r="A23" s="6" t="s">
        <v>45</v>
      </c>
      <c r="B23" s="6" t="s">
        <v>9</v>
      </c>
      <c r="C23" s="6" t="s">
        <v>36</v>
      </c>
      <c r="D23" s="6" t="s">
        <v>26</v>
      </c>
      <c r="E23" s="6" t="s">
        <v>13</v>
      </c>
      <c r="F23" s="6">
        <v>342</v>
      </c>
      <c r="G23" s="6" t="s">
        <v>49</v>
      </c>
      <c r="H23" s="8" t="s">
        <v>15</v>
      </c>
      <c r="I23" s="6" t="s">
        <v>211</v>
      </c>
      <c r="J23" s="6">
        <v>22</v>
      </c>
    </row>
    <row r="24" spans="1:10" x14ac:dyDescent="0.2">
      <c r="A24" s="6" t="s">
        <v>46</v>
      </c>
      <c r="B24" s="6" t="s">
        <v>9</v>
      </c>
      <c r="C24" s="6" t="s">
        <v>36</v>
      </c>
      <c r="D24" s="6" t="s">
        <v>26</v>
      </c>
      <c r="E24" s="6" t="s">
        <v>14</v>
      </c>
      <c r="F24" s="6">
        <v>916</v>
      </c>
      <c r="G24" s="6" t="s">
        <v>50</v>
      </c>
      <c r="H24" s="9" t="s">
        <v>20</v>
      </c>
      <c r="I24" s="6" t="s">
        <v>212</v>
      </c>
      <c r="J24" s="6">
        <v>23</v>
      </c>
    </row>
    <row r="25" spans="1:10" x14ac:dyDescent="0.2">
      <c r="A25" s="7" t="s">
        <v>46</v>
      </c>
      <c r="B25" s="7" t="s">
        <v>9</v>
      </c>
      <c r="C25" s="7" t="s">
        <v>36</v>
      </c>
      <c r="D25" s="7" t="s">
        <v>26</v>
      </c>
      <c r="E25" s="7" t="s">
        <v>14</v>
      </c>
      <c r="F25" s="7">
        <v>400</v>
      </c>
      <c r="G25" s="7" t="s">
        <v>51</v>
      </c>
      <c r="H25" s="10" t="s">
        <v>15</v>
      </c>
      <c r="I25" s="7" t="s">
        <v>211</v>
      </c>
      <c r="J25" s="7">
        <v>24</v>
      </c>
    </row>
    <row r="26" spans="1:10" x14ac:dyDescent="0.2">
      <c r="A26" s="3" t="s">
        <v>52</v>
      </c>
      <c r="B26" s="3" t="s">
        <v>55</v>
      </c>
      <c r="C26" s="3" t="s">
        <v>10</v>
      </c>
      <c r="D26" s="3" t="s">
        <v>11</v>
      </c>
      <c r="E26" s="3" t="s">
        <v>12</v>
      </c>
      <c r="F26" s="3">
        <v>253</v>
      </c>
      <c r="G26" s="3" t="s">
        <v>56</v>
      </c>
      <c r="H26" s="8" t="s">
        <v>15</v>
      </c>
      <c r="I26" s="3" t="s">
        <v>212</v>
      </c>
      <c r="J26" s="3">
        <v>25</v>
      </c>
    </row>
    <row r="27" spans="1:10" x14ac:dyDescent="0.2">
      <c r="A27" s="3" t="s">
        <v>52</v>
      </c>
      <c r="B27" s="3" t="s">
        <v>55</v>
      </c>
      <c r="C27" s="3" t="s">
        <v>10</v>
      </c>
      <c r="D27" s="3" t="s">
        <v>11</v>
      </c>
      <c r="E27" s="3" t="s">
        <v>12</v>
      </c>
      <c r="F27" s="3">
        <v>604</v>
      </c>
      <c r="G27" s="3" t="s">
        <v>57</v>
      </c>
      <c r="H27" s="8" t="s">
        <v>15</v>
      </c>
      <c r="I27" s="3" t="s">
        <v>211</v>
      </c>
      <c r="J27" s="3">
        <v>26</v>
      </c>
    </row>
    <row r="28" spans="1:10" x14ac:dyDescent="0.2">
      <c r="A28" s="3" t="s">
        <v>54</v>
      </c>
      <c r="B28" s="3" t="s">
        <v>55</v>
      </c>
      <c r="C28" s="3" t="s">
        <v>10</v>
      </c>
      <c r="D28" s="3" t="s">
        <v>11</v>
      </c>
      <c r="E28" s="3" t="s">
        <v>13</v>
      </c>
      <c r="F28" s="3">
        <v>253</v>
      </c>
      <c r="G28" s="3" t="s">
        <v>58</v>
      </c>
      <c r="H28" s="8" t="s">
        <v>15</v>
      </c>
      <c r="I28" s="3" t="s">
        <v>212</v>
      </c>
      <c r="J28" s="3">
        <v>27</v>
      </c>
    </row>
    <row r="29" spans="1:10" x14ac:dyDescent="0.2">
      <c r="A29" s="3" t="s">
        <v>54</v>
      </c>
      <c r="B29" s="3" t="s">
        <v>55</v>
      </c>
      <c r="C29" s="3" t="s">
        <v>10</v>
      </c>
      <c r="D29" s="3" t="s">
        <v>11</v>
      </c>
      <c r="E29" s="3" t="s">
        <v>13</v>
      </c>
      <c r="F29" s="3">
        <v>264</v>
      </c>
      <c r="G29" s="3" t="s">
        <v>59</v>
      </c>
      <c r="H29" s="8" t="s">
        <v>15</v>
      </c>
      <c r="I29" s="3" t="s">
        <v>211</v>
      </c>
      <c r="J29" s="3">
        <v>28</v>
      </c>
    </row>
    <row r="30" spans="1:10" x14ac:dyDescent="0.2">
      <c r="A30" s="3" t="s">
        <v>53</v>
      </c>
      <c r="B30" s="3" t="s">
        <v>55</v>
      </c>
      <c r="C30" s="3" t="s">
        <v>10</v>
      </c>
      <c r="D30" s="3" t="s">
        <v>11</v>
      </c>
      <c r="E30" s="3" t="s">
        <v>14</v>
      </c>
      <c r="F30" s="3">
        <v>253</v>
      </c>
      <c r="G30" s="3" t="s">
        <v>60</v>
      </c>
      <c r="H30" s="9" t="s">
        <v>20</v>
      </c>
      <c r="I30" s="3" t="s">
        <v>212</v>
      </c>
      <c r="J30" s="3">
        <v>29</v>
      </c>
    </row>
    <row r="31" spans="1:10" x14ac:dyDescent="0.2">
      <c r="A31" s="11" t="s">
        <v>53</v>
      </c>
      <c r="B31" s="11" t="s">
        <v>55</v>
      </c>
      <c r="C31" s="11" t="s">
        <v>10</v>
      </c>
      <c r="D31" s="11" t="s">
        <v>11</v>
      </c>
      <c r="E31" s="11" t="s">
        <v>14</v>
      </c>
      <c r="F31" s="11">
        <v>482</v>
      </c>
      <c r="G31" s="11" t="s">
        <v>61</v>
      </c>
      <c r="H31" s="10" t="s">
        <v>15</v>
      </c>
      <c r="I31" s="11" t="s">
        <v>211</v>
      </c>
      <c r="J31" s="11">
        <v>30</v>
      </c>
    </row>
    <row r="32" spans="1:10" x14ac:dyDescent="0.2">
      <c r="A32" s="4" t="s">
        <v>191</v>
      </c>
      <c r="B32" s="4" t="s">
        <v>55</v>
      </c>
      <c r="C32" s="4" t="s">
        <v>10</v>
      </c>
      <c r="D32" s="4" t="s">
        <v>26</v>
      </c>
      <c r="E32" s="4" t="s">
        <v>12</v>
      </c>
      <c r="F32" s="4">
        <v>471</v>
      </c>
      <c r="G32" s="4" t="s">
        <v>196</v>
      </c>
      <c r="H32" s="8" t="s">
        <v>15</v>
      </c>
      <c r="I32" s="4" t="s">
        <v>212</v>
      </c>
      <c r="J32" s="4">
        <v>31</v>
      </c>
    </row>
    <row r="33" spans="1:10" x14ac:dyDescent="0.2">
      <c r="A33" s="4" t="s">
        <v>191</v>
      </c>
      <c r="B33" s="4" t="s">
        <v>55</v>
      </c>
      <c r="C33" s="4" t="s">
        <v>10</v>
      </c>
      <c r="D33" s="4" t="s">
        <v>26</v>
      </c>
      <c r="E33" s="4" t="s">
        <v>12</v>
      </c>
      <c r="F33" s="4">
        <v>260</v>
      </c>
      <c r="G33" s="4" t="s">
        <v>194</v>
      </c>
      <c r="H33" s="8" t="s">
        <v>15</v>
      </c>
      <c r="I33" s="4" t="s">
        <v>211</v>
      </c>
      <c r="J33" s="4">
        <v>32</v>
      </c>
    </row>
    <row r="34" spans="1:10" x14ac:dyDescent="0.2">
      <c r="A34" s="4" t="s">
        <v>192</v>
      </c>
      <c r="B34" s="4" t="s">
        <v>55</v>
      </c>
      <c r="C34" s="4" t="s">
        <v>10</v>
      </c>
      <c r="D34" s="4" t="s">
        <v>26</v>
      </c>
      <c r="E34" s="4" t="s">
        <v>13</v>
      </c>
      <c r="F34" s="4">
        <v>471</v>
      </c>
      <c r="G34" s="4" t="s">
        <v>197</v>
      </c>
      <c r="H34" s="8" t="s">
        <v>15</v>
      </c>
      <c r="I34" s="4" t="s">
        <v>212</v>
      </c>
      <c r="J34" s="4">
        <v>33</v>
      </c>
    </row>
    <row r="35" spans="1:10" x14ac:dyDescent="0.2">
      <c r="A35" s="4" t="s">
        <v>192</v>
      </c>
      <c r="B35" s="4" t="s">
        <v>55</v>
      </c>
      <c r="C35" s="4" t="s">
        <v>10</v>
      </c>
      <c r="D35" s="4" t="s">
        <v>26</v>
      </c>
      <c r="E35" s="4" t="s">
        <v>13</v>
      </c>
      <c r="F35" s="4">
        <v>579</v>
      </c>
      <c r="G35" s="4" t="s">
        <v>235</v>
      </c>
      <c r="H35" s="8" t="s">
        <v>15</v>
      </c>
      <c r="I35" s="4" t="s">
        <v>211</v>
      </c>
      <c r="J35" s="4">
        <v>34</v>
      </c>
    </row>
    <row r="36" spans="1:10" x14ac:dyDescent="0.2">
      <c r="A36" s="4" t="s">
        <v>193</v>
      </c>
      <c r="B36" s="4" t="s">
        <v>55</v>
      </c>
      <c r="C36" s="4" t="s">
        <v>10</v>
      </c>
      <c r="D36" s="4" t="s">
        <v>26</v>
      </c>
      <c r="E36" s="4" t="s">
        <v>14</v>
      </c>
      <c r="F36" s="4">
        <v>471</v>
      </c>
      <c r="G36" s="4" t="s">
        <v>198</v>
      </c>
      <c r="H36" s="9" t="s">
        <v>20</v>
      </c>
      <c r="I36" s="4" t="s">
        <v>212</v>
      </c>
      <c r="J36" s="4">
        <v>35</v>
      </c>
    </row>
    <row r="37" spans="1:10" x14ac:dyDescent="0.2">
      <c r="A37" s="4" t="s">
        <v>193</v>
      </c>
      <c r="B37" s="12" t="s">
        <v>55</v>
      </c>
      <c r="C37" s="12" t="s">
        <v>10</v>
      </c>
      <c r="D37" s="12" t="s">
        <v>26</v>
      </c>
      <c r="E37" s="12" t="s">
        <v>14</v>
      </c>
      <c r="F37" s="12">
        <v>300</v>
      </c>
      <c r="G37" s="12" t="s">
        <v>195</v>
      </c>
      <c r="H37" s="9" t="s">
        <v>20</v>
      </c>
      <c r="I37" s="12" t="s">
        <v>211</v>
      </c>
      <c r="J37" s="12">
        <v>36</v>
      </c>
    </row>
    <row r="38" spans="1:10" x14ac:dyDescent="0.2">
      <c r="A38" s="5" t="s">
        <v>62</v>
      </c>
      <c r="B38" s="5" t="s">
        <v>55</v>
      </c>
      <c r="C38" s="5" t="s">
        <v>36</v>
      </c>
      <c r="D38" s="5" t="s">
        <v>11</v>
      </c>
      <c r="E38" s="5" t="s">
        <v>12</v>
      </c>
      <c r="F38" s="5">
        <v>17</v>
      </c>
      <c r="G38" s="5" t="s">
        <v>65</v>
      </c>
      <c r="H38" s="8" t="s">
        <v>15</v>
      </c>
      <c r="I38" s="5" t="s">
        <v>212</v>
      </c>
      <c r="J38" s="5">
        <v>37</v>
      </c>
    </row>
    <row r="39" spans="1:10" x14ac:dyDescent="0.2">
      <c r="A39" s="5" t="s">
        <v>62</v>
      </c>
      <c r="B39" s="5" t="s">
        <v>55</v>
      </c>
      <c r="C39" s="5" t="s">
        <v>36</v>
      </c>
      <c r="D39" s="5" t="s">
        <v>11</v>
      </c>
      <c r="E39" s="5" t="s">
        <v>12</v>
      </c>
      <c r="F39" s="5">
        <v>454</v>
      </c>
      <c r="G39" s="5" t="s">
        <v>66</v>
      </c>
      <c r="H39" s="8" t="s">
        <v>15</v>
      </c>
      <c r="I39" s="5" t="s">
        <v>211</v>
      </c>
      <c r="J39" s="5">
        <v>38</v>
      </c>
    </row>
    <row r="40" spans="1:10" x14ac:dyDescent="0.2">
      <c r="A40" s="5" t="s">
        <v>63</v>
      </c>
      <c r="B40" s="5" t="s">
        <v>55</v>
      </c>
      <c r="C40" s="5" t="s">
        <v>36</v>
      </c>
      <c r="D40" s="5" t="s">
        <v>11</v>
      </c>
      <c r="E40" s="5" t="s">
        <v>13</v>
      </c>
      <c r="F40" s="5">
        <v>17</v>
      </c>
      <c r="G40" s="5" t="s">
        <v>67</v>
      </c>
      <c r="H40" s="8" t="s">
        <v>15</v>
      </c>
      <c r="I40" s="5" t="s">
        <v>212</v>
      </c>
      <c r="J40" s="5">
        <v>39</v>
      </c>
    </row>
    <row r="41" spans="1:10" x14ac:dyDescent="0.2">
      <c r="A41" s="5" t="s">
        <v>63</v>
      </c>
      <c r="B41" s="5" t="s">
        <v>55</v>
      </c>
      <c r="C41" s="5" t="s">
        <v>36</v>
      </c>
      <c r="D41" s="5" t="s">
        <v>11</v>
      </c>
      <c r="E41" s="5" t="s">
        <v>13</v>
      </c>
      <c r="F41" s="5">
        <v>440</v>
      </c>
      <c r="G41" s="5" t="s">
        <v>68</v>
      </c>
      <c r="H41" s="8" t="s">
        <v>15</v>
      </c>
      <c r="I41" s="5" t="s">
        <v>211</v>
      </c>
      <c r="J41" s="5">
        <v>40</v>
      </c>
    </row>
    <row r="42" spans="1:10" x14ac:dyDescent="0.2">
      <c r="A42" s="5" t="s">
        <v>64</v>
      </c>
      <c r="B42" s="5" t="s">
        <v>55</v>
      </c>
      <c r="C42" s="5" t="s">
        <v>36</v>
      </c>
      <c r="D42" s="5" t="s">
        <v>11</v>
      </c>
      <c r="E42" s="5" t="s">
        <v>14</v>
      </c>
      <c r="F42" s="5">
        <v>17</v>
      </c>
      <c r="G42" s="5" t="s">
        <v>69</v>
      </c>
      <c r="H42" s="9" t="s">
        <v>20</v>
      </c>
      <c r="I42" s="5" t="s">
        <v>212</v>
      </c>
      <c r="J42" s="5">
        <v>41</v>
      </c>
    </row>
    <row r="43" spans="1:10" x14ac:dyDescent="0.2">
      <c r="A43" s="13" t="s">
        <v>64</v>
      </c>
      <c r="B43" s="13" t="s">
        <v>55</v>
      </c>
      <c r="C43" s="13" t="s">
        <v>36</v>
      </c>
      <c r="D43" s="13" t="s">
        <v>11</v>
      </c>
      <c r="E43" s="13" t="s">
        <v>14</v>
      </c>
      <c r="F43" s="13">
        <v>672</v>
      </c>
      <c r="G43" s="13" t="s">
        <v>70</v>
      </c>
      <c r="H43" s="14" t="s">
        <v>20</v>
      </c>
      <c r="I43" s="13" t="s">
        <v>211</v>
      </c>
      <c r="J43" s="13">
        <v>42</v>
      </c>
    </row>
    <row r="44" spans="1:10" x14ac:dyDescent="0.2">
      <c r="A44" s="6" t="s">
        <v>71</v>
      </c>
      <c r="B44" s="6" t="s">
        <v>55</v>
      </c>
      <c r="C44" s="6" t="s">
        <v>36</v>
      </c>
      <c r="D44" s="6" t="s">
        <v>26</v>
      </c>
      <c r="E44" s="6" t="s">
        <v>12</v>
      </c>
      <c r="F44" s="6">
        <v>322</v>
      </c>
      <c r="G44" s="6" t="s">
        <v>74</v>
      </c>
      <c r="H44" s="8" t="s">
        <v>15</v>
      </c>
      <c r="I44" s="6" t="s">
        <v>212</v>
      </c>
      <c r="J44" s="6">
        <v>43</v>
      </c>
    </row>
    <row r="45" spans="1:10" x14ac:dyDescent="0.2">
      <c r="A45" s="6" t="s">
        <v>71</v>
      </c>
      <c r="B45" s="6" t="s">
        <v>55</v>
      </c>
      <c r="C45" s="6" t="s">
        <v>36</v>
      </c>
      <c r="D45" s="6" t="s">
        <v>26</v>
      </c>
      <c r="E45" s="6" t="s">
        <v>12</v>
      </c>
      <c r="F45" s="6">
        <v>37</v>
      </c>
      <c r="G45" s="6" t="s">
        <v>75</v>
      </c>
      <c r="H45" s="8" t="s">
        <v>15</v>
      </c>
      <c r="I45" s="6" t="s">
        <v>211</v>
      </c>
      <c r="J45" s="6">
        <v>44</v>
      </c>
    </row>
    <row r="46" spans="1:10" x14ac:dyDescent="0.2">
      <c r="A46" s="6" t="s">
        <v>72</v>
      </c>
      <c r="B46" s="6" t="s">
        <v>55</v>
      </c>
      <c r="C46" s="6" t="s">
        <v>36</v>
      </c>
      <c r="D46" s="6" t="s">
        <v>26</v>
      </c>
      <c r="E46" s="6" t="s">
        <v>13</v>
      </c>
      <c r="F46" s="6">
        <v>322</v>
      </c>
      <c r="G46" s="6" t="s">
        <v>76</v>
      </c>
      <c r="H46" s="8" t="s">
        <v>15</v>
      </c>
      <c r="I46" s="6" t="s">
        <v>212</v>
      </c>
      <c r="J46" s="6">
        <v>45</v>
      </c>
    </row>
    <row r="47" spans="1:10" x14ac:dyDescent="0.2">
      <c r="A47" s="6" t="s">
        <v>72</v>
      </c>
      <c r="B47" s="6" t="s">
        <v>55</v>
      </c>
      <c r="C47" s="6" t="s">
        <v>36</v>
      </c>
      <c r="D47" s="6" t="s">
        <v>26</v>
      </c>
      <c r="E47" s="6" t="s">
        <v>13</v>
      </c>
      <c r="F47" s="6">
        <v>312</v>
      </c>
      <c r="G47" s="6" t="s">
        <v>77</v>
      </c>
      <c r="H47" s="8" t="s">
        <v>15</v>
      </c>
      <c r="I47" s="6" t="s">
        <v>211</v>
      </c>
      <c r="J47" s="6">
        <v>46</v>
      </c>
    </row>
    <row r="48" spans="1:10" x14ac:dyDescent="0.2">
      <c r="A48" s="6" t="s">
        <v>73</v>
      </c>
      <c r="B48" s="6" t="s">
        <v>55</v>
      </c>
      <c r="C48" s="6" t="s">
        <v>36</v>
      </c>
      <c r="D48" s="6" t="s">
        <v>26</v>
      </c>
      <c r="E48" s="6" t="s">
        <v>14</v>
      </c>
      <c r="F48" s="6">
        <v>322</v>
      </c>
      <c r="G48" s="6" t="s">
        <v>78</v>
      </c>
      <c r="H48" s="9" t="s">
        <v>20</v>
      </c>
      <c r="I48" s="6" t="s">
        <v>212</v>
      </c>
      <c r="J48" s="6">
        <v>47</v>
      </c>
    </row>
    <row r="49" spans="1:10" x14ac:dyDescent="0.2">
      <c r="A49" s="7" t="s">
        <v>73</v>
      </c>
      <c r="B49" s="7" t="s">
        <v>55</v>
      </c>
      <c r="C49" s="7" t="s">
        <v>36</v>
      </c>
      <c r="D49" s="7" t="s">
        <v>26</v>
      </c>
      <c r="E49" s="7" t="s">
        <v>14</v>
      </c>
      <c r="F49" s="7">
        <v>684</v>
      </c>
      <c r="G49" s="7" t="s">
        <v>79</v>
      </c>
      <c r="H49" s="10" t="s">
        <v>15</v>
      </c>
      <c r="I49" s="7" t="s">
        <v>211</v>
      </c>
      <c r="J49" s="7">
        <v>48</v>
      </c>
    </row>
    <row r="50" spans="1:10" x14ac:dyDescent="0.2">
      <c r="A50" s="3" t="s">
        <v>80</v>
      </c>
      <c r="B50" s="3" t="s">
        <v>83</v>
      </c>
      <c r="C50" s="3" t="s">
        <v>10</v>
      </c>
      <c r="D50" s="3" t="s">
        <v>11</v>
      </c>
      <c r="E50" s="3" t="s">
        <v>12</v>
      </c>
      <c r="F50" s="3">
        <v>164</v>
      </c>
      <c r="G50" s="3" t="s">
        <v>84</v>
      </c>
      <c r="H50" s="8" t="s">
        <v>15</v>
      </c>
      <c r="I50" s="3" t="s">
        <v>212</v>
      </c>
      <c r="J50" s="3">
        <v>49</v>
      </c>
    </row>
    <row r="51" spans="1:10" x14ac:dyDescent="0.2">
      <c r="A51" s="3" t="s">
        <v>80</v>
      </c>
      <c r="B51" s="3" t="s">
        <v>83</v>
      </c>
      <c r="C51" s="3" t="s">
        <v>10</v>
      </c>
      <c r="D51" s="3" t="s">
        <v>11</v>
      </c>
      <c r="E51" s="3" t="s">
        <v>12</v>
      </c>
      <c r="F51" s="3">
        <v>161</v>
      </c>
      <c r="G51" s="3" t="s">
        <v>85</v>
      </c>
      <c r="H51" s="8" t="s">
        <v>15</v>
      </c>
      <c r="I51" s="3" t="s">
        <v>211</v>
      </c>
      <c r="J51" s="3">
        <v>50</v>
      </c>
    </row>
    <row r="52" spans="1:10" x14ac:dyDescent="0.2">
      <c r="A52" s="3" t="s">
        <v>81</v>
      </c>
      <c r="B52" s="3" t="s">
        <v>83</v>
      </c>
      <c r="C52" s="3" t="s">
        <v>10</v>
      </c>
      <c r="D52" s="3" t="s">
        <v>11</v>
      </c>
      <c r="E52" s="3" t="s">
        <v>13</v>
      </c>
      <c r="F52" s="3">
        <v>164</v>
      </c>
      <c r="G52" s="3" t="s">
        <v>86</v>
      </c>
      <c r="H52" s="8" t="s">
        <v>15</v>
      </c>
      <c r="I52" s="3" t="s">
        <v>212</v>
      </c>
      <c r="J52" s="3">
        <v>51</v>
      </c>
    </row>
    <row r="53" spans="1:10" x14ac:dyDescent="0.2">
      <c r="A53" s="3" t="s">
        <v>81</v>
      </c>
      <c r="B53" s="3" t="s">
        <v>83</v>
      </c>
      <c r="C53" s="3" t="s">
        <v>10</v>
      </c>
      <c r="D53" s="3" t="s">
        <v>11</v>
      </c>
      <c r="E53" s="3" t="s">
        <v>13</v>
      </c>
      <c r="F53" s="3">
        <v>173</v>
      </c>
      <c r="G53" s="3" t="s">
        <v>87</v>
      </c>
      <c r="H53" s="8" t="s">
        <v>15</v>
      </c>
      <c r="I53" s="3" t="s">
        <v>211</v>
      </c>
      <c r="J53" s="3">
        <v>52</v>
      </c>
    </row>
    <row r="54" spans="1:10" x14ac:dyDescent="0.2">
      <c r="A54" s="3" t="s">
        <v>82</v>
      </c>
      <c r="B54" s="3" t="s">
        <v>83</v>
      </c>
      <c r="C54" s="3" t="s">
        <v>10</v>
      </c>
      <c r="D54" s="3" t="s">
        <v>11</v>
      </c>
      <c r="E54" s="3" t="s">
        <v>14</v>
      </c>
      <c r="F54" s="3">
        <v>164</v>
      </c>
      <c r="G54" s="3" t="s">
        <v>88</v>
      </c>
      <c r="H54" s="8" t="s">
        <v>15</v>
      </c>
      <c r="I54" s="3" t="s">
        <v>212</v>
      </c>
      <c r="J54" s="3">
        <v>53</v>
      </c>
    </row>
    <row r="55" spans="1:10" x14ac:dyDescent="0.2">
      <c r="A55" s="11" t="s">
        <v>82</v>
      </c>
      <c r="B55" s="11" t="s">
        <v>83</v>
      </c>
      <c r="C55" s="11" t="s">
        <v>10</v>
      </c>
      <c r="D55" s="11" t="s">
        <v>11</v>
      </c>
      <c r="E55" s="11" t="s">
        <v>14</v>
      </c>
      <c r="F55" s="11">
        <v>177</v>
      </c>
      <c r="G55" s="11" t="s">
        <v>89</v>
      </c>
      <c r="H55" s="14" t="s">
        <v>20</v>
      </c>
      <c r="I55" s="11" t="s">
        <v>211</v>
      </c>
      <c r="J55" s="11">
        <v>54</v>
      </c>
    </row>
    <row r="56" spans="1:10" x14ac:dyDescent="0.2">
      <c r="A56" s="4" t="s">
        <v>90</v>
      </c>
      <c r="B56" s="4" t="s">
        <v>83</v>
      </c>
      <c r="C56" s="4" t="s">
        <v>10</v>
      </c>
      <c r="D56" s="4" t="s">
        <v>26</v>
      </c>
      <c r="E56" s="4" t="s">
        <v>12</v>
      </c>
      <c r="F56" s="4">
        <v>190</v>
      </c>
      <c r="G56" s="4" t="s">
        <v>199</v>
      </c>
      <c r="H56" s="8" t="s">
        <v>15</v>
      </c>
      <c r="I56" s="4" t="s">
        <v>212</v>
      </c>
      <c r="J56" s="4">
        <v>55</v>
      </c>
    </row>
    <row r="57" spans="1:10" x14ac:dyDescent="0.2">
      <c r="A57" s="4" t="s">
        <v>90</v>
      </c>
      <c r="B57" s="4" t="s">
        <v>83</v>
      </c>
      <c r="C57" s="4" t="s">
        <v>10</v>
      </c>
      <c r="D57" s="4" t="s">
        <v>26</v>
      </c>
      <c r="E57" s="4" t="s">
        <v>12</v>
      </c>
      <c r="F57" s="4">
        <v>181</v>
      </c>
      <c r="G57" s="4" t="s">
        <v>200</v>
      </c>
      <c r="H57" s="8" t="s">
        <v>15</v>
      </c>
      <c r="I57" s="4" t="s">
        <v>211</v>
      </c>
      <c r="J57" s="4">
        <v>56</v>
      </c>
    </row>
    <row r="58" spans="1:10" x14ac:dyDescent="0.2">
      <c r="A58" s="4" t="s">
        <v>91</v>
      </c>
      <c r="B58" s="4" t="s">
        <v>83</v>
      </c>
      <c r="C58" s="4" t="s">
        <v>10</v>
      </c>
      <c r="D58" s="4" t="s">
        <v>26</v>
      </c>
      <c r="E58" s="4" t="s">
        <v>13</v>
      </c>
      <c r="F58" s="4">
        <v>190</v>
      </c>
      <c r="G58" s="4" t="s">
        <v>93</v>
      </c>
      <c r="H58" s="8" t="s">
        <v>15</v>
      </c>
      <c r="I58" s="4" t="s">
        <v>212</v>
      </c>
      <c r="J58" s="4">
        <v>57</v>
      </c>
    </row>
    <row r="59" spans="1:10" x14ac:dyDescent="0.2">
      <c r="A59" s="4" t="s">
        <v>91</v>
      </c>
      <c r="B59" s="4" t="s">
        <v>83</v>
      </c>
      <c r="C59" s="4" t="s">
        <v>10</v>
      </c>
      <c r="D59" s="4" t="s">
        <v>26</v>
      </c>
      <c r="E59" s="4" t="s">
        <v>13</v>
      </c>
      <c r="F59" s="4">
        <v>223</v>
      </c>
      <c r="G59" s="4" t="s">
        <v>94</v>
      </c>
      <c r="H59" s="8" t="s">
        <v>15</v>
      </c>
      <c r="I59" s="4" t="s">
        <v>211</v>
      </c>
      <c r="J59" s="4">
        <v>58</v>
      </c>
    </row>
    <row r="60" spans="1:10" x14ac:dyDescent="0.2">
      <c r="A60" s="4" t="s">
        <v>92</v>
      </c>
      <c r="B60" s="4" t="s">
        <v>83</v>
      </c>
      <c r="C60" s="4" t="s">
        <v>10</v>
      </c>
      <c r="D60" s="4" t="s">
        <v>26</v>
      </c>
      <c r="E60" s="4" t="s">
        <v>14</v>
      </c>
      <c r="F60" s="4">
        <v>190</v>
      </c>
      <c r="G60" s="4" t="s">
        <v>95</v>
      </c>
      <c r="H60" s="9" t="s">
        <v>20</v>
      </c>
      <c r="I60" s="4" t="s">
        <v>212</v>
      </c>
      <c r="J60" s="4">
        <v>59</v>
      </c>
    </row>
    <row r="61" spans="1:10" x14ac:dyDescent="0.2">
      <c r="A61" s="12" t="s">
        <v>92</v>
      </c>
      <c r="B61" s="12" t="s">
        <v>83</v>
      </c>
      <c r="C61" s="12" t="s">
        <v>10</v>
      </c>
      <c r="D61" s="12" t="s">
        <v>26</v>
      </c>
      <c r="E61" s="12" t="s">
        <v>14</v>
      </c>
      <c r="F61" s="12">
        <v>138</v>
      </c>
      <c r="G61" s="12" t="s">
        <v>96</v>
      </c>
      <c r="H61" s="14" t="s">
        <v>20</v>
      </c>
      <c r="I61" s="12" t="s">
        <v>211</v>
      </c>
      <c r="J61" s="12">
        <v>60</v>
      </c>
    </row>
    <row r="62" spans="1:10" x14ac:dyDescent="0.2">
      <c r="A62" s="5" t="s">
        <v>97</v>
      </c>
      <c r="B62" s="5" t="s">
        <v>83</v>
      </c>
      <c r="C62" s="5" t="s">
        <v>36</v>
      </c>
      <c r="D62" s="5" t="s">
        <v>11</v>
      </c>
      <c r="E62" s="5" t="s">
        <v>12</v>
      </c>
      <c r="F62" s="5">
        <v>104</v>
      </c>
      <c r="G62" s="5" t="s">
        <v>100</v>
      </c>
      <c r="H62" s="8" t="s">
        <v>15</v>
      </c>
      <c r="I62" s="5" t="s">
        <v>212</v>
      </c>
      <c r="J62" s="5">
        <v>61</v>
      </c>
    </row>
    <row r="63" spans="1:10" x14ac:dyDescent="0.2">
      <c r="A63" s="5" t="s">
        <v>97</v>
      </c>
      <c r="B63" s="5" t="s">
        <v>83</v>
      </c>
      <c r="C63" s="5" t="s">
        <v>36</v>
      </c>
      <c r="D63" s="5" t="s">
        <v>11</v>
      </c>
      <c r="E63" s="5" t="s">
        <v>12</v>
      </c>
      <c r="F63" s="5">
        <v>114</v>
      </c>
      <c r="G63" s="5" t="s">
        <v>101</v>
      </c>
      <c r="H63" s="8" t="s">
        <v>15</v>
      </c>
      <c r="I63" s="5" t="s">
        <v>211</v>
      </c>
      <c r="J63" s="5">
        <v>62</v>
      </c>
    </row>
    <row r="64" spans="1:10" x14ac:dyDescent="0.2">
      <c r="A64" s="5" t="s">
        <v>98</v>
      </c>
      <c r="B64" s="5" t="s">
        <v>83</v>
      </c>
      <c r="C64" s="5" t="s">
        <v>36</v>
      </c>
      <c r="D64" s="5" t="s">
        <v>11</v>
      </c>
      <c r="E64" s="5" t="s">
        <v>13</v>
      </c>
      <c r="F64" s="5">
        <v>104</v>
      </c>
      <c r="G64" s="5" t="s">
        <v>102</v>
      </c>
      <c r="H64" s="9" t="s">
        <v>20</v>
      </c>
      <c r="I64" s="5" t="s">
        <v>212</v>
      </c>
      <c r="J64" s="5">
        <v>63</v>
      </c>
    </row>
    <row r="65" spans="1:10" x14ac:dyDescent="0.2">
      <c r="A65" s="5" t="s">
        <v>98</v>
      </c>
      <c r="B65" s="5" t="s">
        <v>83</v>
      </c>
      <c r="C65" s="5" t="s">
        <v>36</v>
      </c>
      <c r="D65" s="5" t="s">
        <v>11</v>
      </c>
      <c r="E65" s="5" t="s">
        <v>13</v>
      </c>
      <c r="F65" s="5">
        <v>168</v>
      </c>
      <c r="G65" s="5" t="s">
        <v>103</v>
      </c>
      <c r="H65" s="8" t="s">
        <v>15</v>
      </c>
      <c r="I65" s="5" t="s">
        <v>211</v>
      </c>
      <c r="J65" s="5">
        <v>64</v>
      </c>
    </row>
    <row r="66" spans="1:10" x14ac:dyDescent="0.2">
      <c r="A66" s="5" t="s">
        <v>99</v>
      </c>
      <c r="B66" s="5" t="s">
        <v>83</v>
      </c>
      <c r="C66" s="5" t="s">
        <v>36</v>
      </c>
      <c r="D66" s="5" t="s">
        <v>11</v>
      </c>
      <c r="E66" s="5" t="s">
        <v>14</v>
      </c>
      <c r="F66" s="5">
        <v>104</v>
      </c>
      <c r="G66" s="5" t="s">
        <v>104</v>
      </c>
      <c r="H66" s="9" t="s">
        <v>20</v>
      </c>
      <c r="I66" s="5" t="s">
        <v>212</v>
      </c>
      <c r="J66" s="5">
        <v>65</v>
      </c>
    </row>
    <row r="67" spans="1:10" x14ac:dyDescent="0.2">
      <c r="A67" s="13" t="s">
        <v>99</v>
      </c>
      <c r="B67" s="13" t="s">
        <v>83</v>
      </c>
      <c r="C67" s="13" t="s">
        <v>36</v>
      </c>
      <c r="D67" s="13" t="s">
        <v>11</v>
      </c>
      <c r="E67" s="13" t="s">
        <v>14</v>
      </c>
      <c r="F67" s="13">
        <v>717</v>
      </c>
      <c r="G67" s="13" t="s">
        <v>105</v>
      </c>
      <c r="H67" s="10" t="s">
        <v>15</v>
      </c>
      <c r="I67" s="13" t="s">
        <v>211</v>
      </c>
      <c r="J67" s="13">
        <v>66</v>
      </c>
    </row>
    <row r="68" spans="1:10" x14ac:dyDescent="0.2">
      <c r="A68" s="6" t="s">
        <v>106</v>
      </c>
      <c r="B68" s="6" t="s">
        <v>83</v>
      </c>
      <c r="C68" s="6" t="s">
        <v>36</v>
      </c>
      <c r="D68" s="6" t="s">
        <v>26</v>
      </c>
      <c r="E68" s="6" t="s">
        <v>12</v>
      </c>
      <c r="F68" s="6">
        <v>212</v>
      </c>
      <c r="G68" s="6" t="s">
        <v>109</v>
      </c>
      <c r="H68" s="8" t="s">
        <v>15</v>
      </c>
      <c r="I68" s="6" t="s">
        <v>212</v>
      </c>
      <c r="J68" s="6">
        <v>67</v>
      </c>
    </row>
    <row r="69" spans="1:10" x14ac:dyDescent="0.2">
      <c r="A69" s="6" t="s">
        <v>106</v>
      </c>
      <c r="B69" s="6" t="s">
        <v>83</v>
      </c>
      <c r="C69" s="6" t="s">
        <v>36</v>
      </c>
      <c r="D69" s="6" t="s">
        <v>26</v>
      </c>
      <c r="E69" s="6" t="s">
        <v>12</v>
      </c>
      <c r="F69" s="6">
        <v>114</v>
      </c>
      <c r="G69" s="6" t="s">
        <v>110</v>
      </c>
      <c r="H69" s="8" t="s">
        <v>15</v>
      </c>
      <c r="I69" s="6" t="s">
        <v>211</v>
      </c>
      <c r="J69" s="6">
        <v>68</v>
      </c>
    </row>
    <row r="70" spans="1:10" x14ac:dyDescent="0.2">
      <c r="A70" s="6" t="s">
        <v>107</v>
      </c>
      <c r="B70" s="6" t="s">
        <v>83</v>
      </c>
      <c r="C70" s="6" t="s">
        <v>36</v>
      </c>
      <c r="D70" s="6" t="s">
        <v>26</v>
      </c>
      <c r="E70" s="6" t="s">
        <v>13</v>
      </c>
      <c r="F70" s="6">
        <v>212</v>
      </c>
      <c r="G70" s="6" t="s">
        <v>111</v>
      </c>
      <c r="H70" s="9" t="s">
        <v>20</v>
      </c>
      <c r="I70" s="6" t="s">
        <v>212</v>
      </c>
      <c r="J70" s="6">
        <v>69</v>
      </c>
    </row>
    <row r="71" spans="1:10" x14ac:dyDescent="0.2">
      <c r="A71" s="6" t="s">
        <v>107</v>
      </c>
      <c r="B71" s="6" t="s">
        <v>83</v>
      </c>
      <c r="C71" s="6" t="s">
        <v>36</v>
      </c>
      <c r="D71" s="6" t="s">
        <v>26</v>
      </c>
      <c r="E71" s="6" t="s">
        <v>13</v>
      </c>
      <c r="F71" s="6">
        <v>146</v>
      </c>
      <c r="G71" s="6" t="s">
        <v>112</v>
      </c>
      <c r="H71" s="9" t="s">
        <v>20</v>
      </c>
      <c r="I71" s="6" t="s">
        <v>211</v>
      </c>
      <c r="J71" s="6">
        <v>70</v>
      </c>
    </row>
    <row r="72" spans="1:10" x14ac:dyDescent="0.2">
      <c r="A72" s="6" t="s">
        <v>108</v>
      </c>
      <c r="B72" s="6" t="s">
        <v>83</v>
      </c>
      <c r="C72" s="6" t="s">
        <v>36</v>
      </c>
      <c r="D72" s="6" t="s">
        <v>26</v>
      </c>
      <c r="E72" s="6" t="s">
        <v>14</v>
      </c>
      <c r="F72" s="6">
        <v>212</v>
      </c>
      <c r="G72" s="6" t="s">
        <v>113</v>
      </c>
      <c r="H72" s="9" t="s">
        <v>20</v>
      </c>
      <c r="I72" s="6" t="s">
        <v>212</v>
      </c>
      <c r="J72" s="6">
        <v>71</v>
      </c>
    </row>
    <row r="73" spans="1:10" x14ac:dyDescent="0.2">
      <c r="A73" s="7" t="s">
        <v>108</v>
      </c>
      <c r="B73" s="7" t="s">
        <v>83</v>
      </c>
      <c r="C73" s="7" t="s">
        <v>36</v>
      </c>
      <c r="D73" s="7" t="s">
        <v>26</v>
      </c>
      <c r="E73" s="7" t="s">
        <v>14</v>
      </c>
      <c r="F73" s="7">
        <v>183</v>
      </c>
      <c r="G73" s="7" t="s">
        <v>114</v>
      </c>
      <c r="H73" s="10" t="s">
        <v>15</v>
      </c>
      <c r="I73" s="7" t="s">
        <v>211</v>
      </c>
      <c r="J73" s="7">
        <v>72</v>
      </c>
    </row>
    <row r="74" spans="1:10" x14ac:dyDescent="0.2">
      <c r="A74" s="3" t="s">
        <v>115</v>
      </c>
      <c r="B74" s="3" t="s">
        <v>118</v>
      </c>
      <c r="C74" s="3" t="s">
        <v>10</v>
      </c>
      <c r="D74" s="3" t="s">
        <v>11</v>
      </c>
      <c r="E74" s="3" t="s">
        <v>12</v>
      </c>
      <c r="F74" s="3">
        <v>174</v>
      </c>
      <c r="G74" s="3" t="s">
        <v>119</v>
      </c>
      <c r="H74" s="8" t="s">
        <v>15</v>
      </c>
      <c r="I74" s="3" t="s">
        <v>212</v>
      </c>
      <c r="J74" s="3">
        <v>73</v>
      </c>
    </row>
    <row r="75" spans="1:10" x14ac:dyDescent="0.2">
      <c r="A75" s="3" t="s">
        <v>115</v>
      </c>
      <c r="B75" s="3" t="s">
        <v>118</v>
      </c>
      <c r="C75" s="3" t="s">
        <v>10</v>
      </c>
      <c r="D75" s="3" t="s">
        <v>11</v>
      </c>
      <c r="E75" s="3" t="s">
        <v>12</v>
      </c>
      <c r="F75" s="3">
        <v>81</v>
      </c>
      <c r="G75" s="3" t="s">
        <v>120</v>
      </c>
      <c r="H75" s="8" t="s">
        <v>15</v>
      </c>
      <c r="I75" s="3" t="s">
        <v>211</v>
      </c>
      <c r="J75" s="3">
        <v>74</v>
      </c>
    </row>
    <row r="76" spans="1:10" x14ac:dyDescent="0.2">
      <c r="A76" s="3" t="s">
        <v>116</v>
      </c>
      <c r="B76" s="3" t="s">
        <v>118</v>
      </c>
      <c r="C76" s="3" t="s">
        <v>10</v>
      </c>
      <c r="D76" s="3" t="s">
        <v>11</v>
      </c>
      <c r="E76" s="3" t="s">
        <v>13</v>
      </c>
      <c r="F76" s="3">
        <v>174</v>
      </c>
      <c r="G76" s="3" t="s">
        <v>121</v>
      </c>
      <c r="H76" s="8" t="s">
        <v>15</v>
      </c>
      <c r="I76" s="3" t="s">
        <v>212</v>
      </c>
      <c r="J76" s="3">
        <v>75</v>
      </c>
    </row>
    <row r="77" spans="1:10" x14ac:dyDescent="0.2">
      <c r="A77" s="3" t="s">
        <v>116</v>
      </c>
      <c r="B77" s="3" t="s">
        <v>118</v>
      </c>
      <c r="C77" s="3" t="s">
        <v>10</v>
      </c>
      <c r="D77" s="3" t="s">
        <v>11</v>
      </c>
      <c r="E77" s="3" t="s">
        <v>13</v>
      </c>
      <c r="F77" s="3">
        <v>361</v>
      </c>
      <c r="G77" s="3" t="s">
        <v>122</v>
      </c>
      <c r="H77" s="8" t="s">
        <v>15</v>
      </c>
      <c r="I77" s="3" t="s">
        <v>211</v>
      </c>
      <c r="J77" s="3">
        <v>76</v>
      </c>
    </row>
    <row r="78" spans="1:10" x14ac:dyDescent="0.2">
      <c r="A78" s="3" t="s">
        <v>117</v>
      </c>
      <c r="B78" s="3" t="s">
        <v>118</v>
      </c>
      <c r="C78" s="3" t="s">
        <v>10</v>
      </c>
      <c r="D78" s="3" t="s">
        <v>11</v>
      </c>
      <c r="E78" s="3" t="s">
        <v>14</v>
      </c>
      <c r="F78" s="3">
        <v>174</v>
      </c>
      <c r="G78" s="3" t="s">
        <v>123</v>
      </c>
      <c r="H78" s="9" t="s">
        <v>20</v>
      </c>
      <c r="I78" s="3" t="s">
        <v>212</v>
      </c>
      <c r="J78" s="3">
        <v>77</v>
      </c>
    </row>
    <row r="79" spans="1:10" x14ac:dyDescent="0.2">
      <c r="A79" s="11" t="s">
        <v>117</v>
      </c>
      <c r="B79" s="11" t="s">
        <v>118</v>
      </c>
      <c r="C79" s="11" t="s">
        <v>10</v>
      </c>
      <c r="D79" s="11" t="s">
        <v>11</v>
      </c>
      <c r="E79" s="11" t="s">
        <v>14</v>
      </c>
      <c r="F79" s="11">
        <v>650</v>
      </c>
      <c r="G79" s="11" t="s">
        <v>124</v>
      </c>
      <c r="H79" s="14" t="s">
        <v>20</v>
      </c>
      <c r="I79" s="11" t="s">
        <v>211</v>
      </c>
      <c r="J79" s="11">
        <v>78</v>
      </c>
    </row>
    <row r="80" spans="1:10" x14ac:dyDescent="0.2">
      <c r="A80" s="4" t="s">
        <v>125</v>
      </c>
      <c r="B80" s="4" t="s">
        <v>118</v>
      </c>
      <c r="C80" s="4" t="s">
        <v>10</v>
      </c>
      <c r="D80" s="4" t="s">
        <v>26</v>
      </c>
      <c r="E80" s="4" t="s">
        <v>12</v>
      </c>
      <c r="F80" s="4">
        <v>182</v>
      </c>
      <c r="G80" s="4" t="s">
        <v>128</v>
      </c>
      <c r="H80" s="8" t="s">
        <v>15</v>
      </c>
      <c r="I80" s="4" t="s">
        <v>212</v>
      </c>
      <c r="J80" s="4">
        <v>79</v>
      </c>
    </row>
    <row r="81" spans="1:10" x14ac:dyDescent="0.2">
      <c r="A81" s="4" t="s">
        <v>125</v>
      </c>
      <c r="B81" s="4" t="s">
        <v>118</v>
      </c>
      <c r="C81" s="4" t="s">
        <v>10</v>
      </c>
      <c r="D81" s="4" t="s">
        <v>26</v>
      </c>
      <c r="E81" s="4" t="s">
        <v>12</v>
      </c>
      <c r="F81" s="4">
        <v>129</v>
      </c>
      <c r="G81" s="4" t="s">
        <v>129</v>
      </c>
      <c r="H81" s="8" t="s">
        <v>15</v>
      </c>
      <c r="I81" s="4" t="s">
        <v>211</v>
      </c>
      <c r="J81" s="4">
        <v>80</v>
      </c>
    </row>
    <row r="82" spans="1:10" x14ac:dyDescent="0.2">
      <c r="A82" s="4" t="s">
        <v>126</v>
      </c>
      <c r="B82" s="4" t="s">
        <v>118</v>
      </c>
      <c r="C82" s="4" t="s">
        <v>10</v>
      </c>
      <c r="D82" s="4" t="s">
        <v>26</v>
      </c>
      <c r="E82" s="4" t="s">
        <v>13</v>
      </c>
      <c r="F82" s="4">
        <v>182</v>
      </c>
      <c r="G82" s="4" t="s">
        <v>130</v>
      </c>
      <c r="H82" s="8" t="s">
        <v>15</v>
      </c>
      <c r="I82" s="4" t="s">
        <v>212</v>
      </c>
      <c r="J82" s="4">
        <v>81</v>
      </c>
    </row>
    <row r="83" spans="1:10" x14ac:dyDescent="0.2">
      <c r="A83" s="4" t="s">
        <v>126</v>
      </c>
      <c r="B83" s="4" t="s">
        <v>118</v>
      </c>
      <c r="C83" s="4" t="s">
        <v>10</v>
      </c>
      <c r="D83" s="4" t="s">
        <v>26</v>
      </c>
      <c r="E83" s="4" t="s">
        <v>13</v>
      </c>
      <c r="F83" s="4">
        <v>398</v>
      </c>
      <c r="G83" s="4" t="s">
        <v>131</v>
      </c>
      <c r="H83" s="8" t="s">
        <v>15</v>
      </c>
      <c r="I83" s="4" t="s">
        <v>211</v>
      </c>
      <c r="J83" s="4">
        <v>82</v>
      </c>
    </row>
    <row r="84" spans="1:10" x14ac:dyDescent="0.2">
      <c r="A84" s="4" t="s">
        <v>127</v>
      </c>
      <c r="B84" s="4" t="s">
        <v>118</v>
      </c>
      <c r="C84" s="4" t="s">
        <v>10</v>
      </c>
      <c r="D84" s="4" t="s">
        <v>26</v>
      </c>
      <c r="E84" s="4" t="s">
        <v>14</v>
      </c>
      <c r="F84" s="4">
        <v>182</v>
      </c>
      <c r="G84" s="4" t="s">
        <v>133</v>
      </c>
      <c r="H84" s="9" t="s">
        <v>20</v>
      </c>
      <c r="I84" s="4" t="s">
        <v>212</v>
      </c>
      <c r="J84" s="4">
        <v>83</v>
      </c>
    </row>
    <row r="85" spans="1:10" x14ac:dyDescent="0.2">
      <c r="A85" s="12" t="s">
        <v>127</v>
      </c>
      <c r="B85" s="12" t="s">
        <v>118</v>
      </c>
      <c r="C85" s="12" t="s">
        <v>10</v>
      </c>
      <c r="D85" s="12" t="s">
        <v>26</v>
      </c>
      <c r="E85" s="12" t="s">
        <v>14</v>
      </c>
      <c r="F85" s="12">
        <v>186</v>
      </c>
      <c r="G85" s="12" t="s">
        <v>132</v>
      </c>
      <c r="H85" s="10" t="s">
        <v>15</v>
      </c>
      <c r="I85" s="12" t="s">
        <v>211</v>
      </c>
      <c r="J85" s="12">
        <v>84</v>
      </c>
    </row>
    <row r="86" spans="1:10" x14ac:dyDescent="0.2">
      <c r="A86" s="5" t="s">
        <v>134</v>
      </c>
      <c r="B86" s="5" t="s">
        <v>118</v>
      </c>
      <c r="C86" s="5" t="s">
        <v>36</v>
      </c>
      <c r="D86" s="5" t="s">
        <v>26</v>
      </c>
      <c r="E86" s="5" t="s">
        <v>12</v>
      </c>
      <c r="F86" s="5">
        <v>31</v>
      </c>
      <c r="G86" s="5" t="s">
        <v>137</v>
      </c>
      <c r="H86" s="8" t="s">
        <v>15</v>
      </c>
      <c r="I86" s="5" t="s">
        <v>212</v>
      </c>
      <c r="J86" s="5">
        <v>85</v>
      </c>
    </row>
    <row r="87" spans="1:10" x14ac:dyDescent="0.2">
      <c r="A87" s="5" t="s">
        <v>134</v>
      </c>
      <c r="B87" s="5" t="s">
        <v>118</v>
      </c>
      <c r="C87" s="5" t="s">
        <v>36</v>
      </c>
      <c r="D87" s="5" t="s">
        <v>26</v>
      </c>
      <c r="E87" s="5" t="s">
        <v>12</v>
      </c>
      <c r="F87" s="5">
        <v>240</v>
      </c>
      <c r="G87" s="5" t="s">
        <v>138</v>
      </c>
      <c r="H87" s="8" t="s">
        <v>15</v>
      </c>
      <c r="I87" s="5" t="s">
        <v>211</v>
      </c>
      <c r="J87" s="5">
        <v>86</v>
      </c>
    </row>
    <row r="88" spans="1:10" x14ac:dyDescent="0.2">
      <c r="A88" s="5" t="s">
        <v>135</v>
      </c>
      <c r="B88" s="5" t="s">
        <v>118</v>
      </c>
      <c r="C88" s="5" t="s">
        <v>36</v>
      </c>
      <c r="D88" s="5" t="s">
        <v>26</v>
      </c>
      <c r="E88" s="5" t="s">
        <v>13</v>
      </c>
      <c r="F88" s="5">
        <v>31</v>
      </c>
      <c r="G88" s="5" t="s">
        <v>88</v>
      </c>
      <c r="H88" s="8" t="s">
        <v>15</v>
      </c>
      <c r="I88" s="5" t="s">
        <v>212</v>
      </c>
      <c r="J88" s="5">
        <v>87</v>
      </c>
    </row>
    <row r="89" spans="1:10" x14ac:dyDescent="0.2">
      <c r="A89" s="5" t="s">
        <v>135</v>
      </c>
      <c r="B89" s="5" t="s">
        <v>118</v>
      </c>
      <c r="C89" s="5" t="s">
        <v>36</v>
      </c>
      <c r="D89" s="5" t="s">
        <v>26</v>
      </c>
      <c r="E89" s="5" t="s">
        <v>13</v>
      </c>
      <c r="F89" s="5">
        <v>824</v>
      </c>
      <c r="G89" s="5" t="s">
        <v>139</v>
      </c>
      <c r="H89" s="8" t="s">
        <v>15</v>
      </c>
      <c r="I89" s="5" t="s">
        <v>211</v>
      </c>
      <c r="J89" s="5">
        <v>88</v>
      </c>
    </row>
    <row r="90" spans="1:10" x14ac:dyDescent="0.2">
      <c r="A90" s="5" t="s">
        <v>136</v>
      </c>
      <c r="B90" s="5" t="s">
        <v>118</v>
      </c>
      <c r="C90" s="5" t="s">
        <v>36</v>
      </c>
      <c r="D90" s="5" t="s">
        <v>26</v>
      </c>
      <c r="E90" s="5" t="s">
        <v>14</v>
      </c>
      <c r="F90" s="5">
        <v>31</v>
      </c>
      <c r="G90" s="5" t="s">
        <v>140</v>
      </c>
      <c r="H90" s="9" t="s">
        <v>20</v>
      </c>
      <c r="I90" s="5" t="s">
        <v>212</v>
      </c>
      <c r="J90" s="5">
        <v>89</v>
      </c>
    </row>
    <row r="91" spans="1:10" x14ac:dyDescent="0.2">
      <c r="A91" s="13" t="s">
        <v>136</v>
      </c>
      <c r="B91" s="13" t="s">
        <v>118</v>
      </c>
      <c r="C91" s="13" t="s">
        <v>36</v>
      </c>
      <c r="D91" s="13" t="s">
        <v>26</v>
      </c>
      <c r="E91" s="13" t="s">
        <v>14</v>
      </c>
      <c r="F91" s="13">
        <v>119</v>
      </c>
      <c r="G91" s="13" t="s">
        <v>141</v>
      </c>
      <c r="H91" s="10" t="s">
        <v>15</v>
      </c>
      <c r="I91" s="13" t="s">
        <v>211</v>
      </c>
      <c r="J91" s="13">
        <v>90</v>
      </c>
    </row>
    <row r="92" spans="1:10" x14ac:dyDescent="0.2">
      <c r="A92" s="6" t="s">
        <v>142</v>
      </c>
      <c r="B92" s="6" t="s">
        <v>118</v>
      </c>
      <c r="C92" s="6" t="s">
        <v>36</v>
      </c>
      <c r="D92" s="6" t="s">
        <v>11</v>
      </c>
      <c r="E92" s="6" t="s">
        <v>12</v>
      </c>
      <c r="F92" s="6">
        <v>777</v>
      </c>
      <c r="G92" s="6" t="s">
        <v>145</v>
      </c>
      <c r="H92" s="8" t="s">
        <v>15</v>
      </c>
      <c r="I92" s="6" t="s">
        <v>212</v>
      </c>
      <c r="J92" s="6">
        <v>91</v>
      </c>
    </row>
    <row r="93" spans="1:10" x14ac:dyDescent="0.2">
      <c r="A93" s="6" t="s">
        <v>142</v>
      </c>
      <c r="B93" s="6" t="s">
        <v>118</v>
      </c>
      <c r="C93" s="6" t="s">
        <v>36</v>
      </c>
      <c r="D93" s="6" t="s">
        <v>11</v>
      </c>
      <c r="E93" s="6" t="s">
        <v>12</v>
      </c>
      <c r="F93" s="6">
        <v>3</v>
      </c>
      <c r="G93" s="6" t="s">
        <v>146</v>
      </c>
      <c r="H93" s="8" t="s">
        <v>15</v>
      </c>
      <c r="I93" s="6" t="s">
        <v>211</v>
      </c>
      <c r="J93" s="6">
        <v>92</v>
      </c>
    </row>
    <row r="94" spans="1:10" x14ac:dyDescent="0.2">
      <c r="A94" s="6" t="s">
        <v>143</v>
      </c>
      <c r="B94" s="6" t="s">
        <v>118</v>
      </c>
      <c r="C94" s="6" t="s">
        <v>36</v>
      </c>
      <c r="D94" s="6" t="s">
        <v>11</v>
      </c>
      <c r="E94" s="6" t="s">
        <v>13</v>
      </c>
      <c r="F94" s="6">
        <v>777</v>
      </c>
      <c r="G94" s="6" t="s">
        <v>147</v>
      </c>
      <c r="H94" s="8" t="s">
        <v>15</v>
      </c>
      <c r="I94" s="6" t="s">
        <v>212</v>
      </c>
      <c r="J94" s="6">
        <v>93</v>
      </c>
    </row>
    <row r="95" spans="1:10" x14ac:dyDescent="0.2">
      <c r="A95" s="6" t="s">
        <v>143</v>
      </c>
      <c r="B95" s="6" t="s">
        <v>118</v>
      </c>
      <c r="C95" s="6" t="s">
        <v>36</v>
      </c>
      <c r="D95" s="6" t="s">
        <v>11</v>
      </c>
      <c r="E95" s="6" t="s">
        <v>13</v>
      </c>
      <c r="F95" s="6">
        <v>274</v>
      </c>
      <c r="G95" s="6" t="s">
        <v>148</v>
      </c>
      <c r="H95" s="8" t="s">
        <v>15</v>
      </c>
      <c r="I95" s="6" t="s">
        <v>211</v>
      </c>
      <c r="J95" s="6">
        <v>94</v>
      </c>
    </row>
    <row r="96" spans="1:10" x14ac:dyDescent="0.2">
      <c r="A96" s="6" t="s">
        <v>144</v>
      </c>
      <c r="B96" s="6" t="s">
        <v>118</v>
      </c>
      <c r="C96" s="6" t="s">
        <v>36</v>
      </c>
      <c r="D96" s="6" t="s">
        <v>11</v>
      </c>
      <c r="E96" s="6" t="s">
        <v>14</v>
      </c>
      <c r="F96" s="6">
        <v>777</v>
      </c>
      <c r="G96" s="6" t="s">
        <v>149</v>
      </c>
      <c r="H96" s="9" t="s">
        <v>20</v>
      </c>
      <c r="I96" s="6" t="s">
        <v>212</v>
      </c>
      <c r="J96" s="6">
        <v>95</v>
      </c>
    </row>
    <row r="97" spans="1:10" x14ac:dyDescent="0.2">
      <c r="A97" s="7" t="s">
        <v>144</v>
      </c>
      <c r="B97" s="7" t="s">
        <v>118</v>
      </c>
      <c r="C97" s="7" t="s">
        <v>36</v>
      </c>
      <c r="D97" s="7" t="s">
        <v>11</v>
      </c>
      <c r="E97" s="7" t="s">
        <v>14</v>
      </c>
      <c r="F97" s="7">
        <v>83</v>
      </c>
      <c r="G97" s="7" t="s">
        <v>150</v>
      </c>
      <c r="H97" s="10" t="s">
        <v>15</v>
      </c>
      <c r="I97" s="7" t="s">
        <v>211</v>
      </c>
      <c r="J97" s="7">
        <v>96</v>
      </c>
    </row>
    <row r="98" spans="1:10" x14ac:dyDescent="0.2">
      <c r="A98" s="3" t="s">
        <v>151</v>
      </c>
      <c r="B98" s="3" t="s">
        <v>154</v>
      </c>
      <c r="C98" s="3" t="s">
        <v>10</v>
      </c>
      <c r="D98" s="3" t="s">
        <v>11</v>
      </c>
      <c r="E98" s="3" t="s">
        <v>12</v>
      </c>
      <c r="F98" s="3">
        <v>813</v>
      </c>
      <c r="G98" s="3" t="s">
        <v>155</v>
      </c>
      <c r="H98" s="9" t="s">
        <v>20</v>
      </c>
      <c r="I98" s="3" t="s">
        <v>212</v>
      </c>
      <c r="J98" s="3">
        <v>97</v>
      </c>
    </row>
    <row r="99" spans="1:10" x14ac:dyDescent="0.2">
      <c r="A99" s="3" t="s">
        <v>151</v>
      </c>
      <c r="B99" s="3" t="s">
        <v>154</v>
      </c>
      <c r="C99" s="3" t="s">
        <v>10</v>
      </c>
      <c r="D99" s="3" t="s">
        <v>11</v>
      </c>
      <c r="E99" s="3" t="s">
        <v>12</v>
      </c>
      <c r="F99" s="3">
        <v>802</v>
      </c>
      <c r="G99" s="3" t="s">
        <v>156</v>
      </c>
      <c r="H99" s="8" t="s">
        <v>15</v>
      </c>
      <c r="I99" s="3" t="s">
        <v>211</v>
      </c>
      <c r="J99" s="3">
        <v>98</v>
      </c>
    </row>
    <row r="100" spans="1:10" x14ac:dyDescent="0.2">
      <c r="A100" s="3" t="s">
        <v>152</v>
      </c>
      <c r="B100" s="3" t="s">
        <v>154</v>
      </c>
      <c r="C100" s="3" t="s">
        <v>10</v>
      </c>
      <c r="D100" s="3" t="s">
        <v>11</v>
      </c>
      <c r="E100" s="3" t="s">
        <v>13</v>
      </c>
      <c r="F100" s="3">
        <v>813</v>
      </c>
      <c r="G100" s="3" t="s">
        <v>157</v>
      </c>
      <c r="H100" s="9" t="s">
        <v>20</v>
      </c>
      <c r="I100" s="3" t="s">
        <v>212</v>
      </c>
      <c r="J100" s="3">
        <v>99</v>
      </c>
    </row>
    <row r="101" spans="1:10" x14ac:dyDescent="0.2">
      <c r="A101" s="3" t="s">
        <v>152</v>
      </c>
      <c r="B101" s="3" t="s">
        <v>154</v>
      </c>
      <c r="C101" s="3" t="s">
        <v>10</v>
      </c>
      <c r="D101" s="3" t="s">
        <v>11</v>
      </c>
      <c r="E101" s="3" t="s">
        <v>13</v>
      </c>
      <c r="F101" s="3">
        <v>879</v>
      </c>
      <c r="G101" s="3" t="s">
        <v>158</v>
      </c>
      <c r="H101" s="8" t="s">
        <v>15</v>
      </c>
      <c r="I101" s="3" t="s">
        <v>211</v>
      </c>
      <c r="J101" s="3">
        <v>100</v>
      </c>
    </row>
    <row r="102" spans="1:10" x14ac:dyDescent="0.2">
      <c r="A102" s="3" t="s">
        <v>153</v>
      </c>
      <c r="B102" s="3" t="s">
        <v>154</v>
      </c>
      <c r="C102" s="3" t="s">
        <v>10</v>
      </c>
      <c r="D102" s="3" t="s">
        <v>11</v>
      </c>
      <c r="E102" s="3" t="s">
        <v>14</v>
      </c>
      <c r="F102" s="3">
        <v>813</v>
      </c>
      <c r="G102" s="3" t="s">
        <v>159</v>
      </c>
      <c r="H102" s="9" t="s">
        <v>20</v>
      </c>
      <c r="I102" s="3" t="s">
        <v>212</v>
      </c>
      <c r="J102" s="3">
        <v>101</v>
      </c>
    </row>
    <row r="103" spans="1:10" x14ac:dyDescent="0.2">
      <c r="A103" s="11" t="s">
        <v>153</v>
      </c>
      <c r="B103" s="11" t="s">
        <v>154</v>
      </c>
      <c r="C103" s="11" t="s">
        <v>10</v>
      </c>
      <c r="D103" s="11" t="s">
        <v>11</v>
      </c>
      <c r="E103" s="11" t="s">
        <v>14</v>
      </c>
      <c r="F103" s="11">
        <v>281</v>
      </c>
      <c r="G103" s="11" t="s">
        <v>160</v>
      </c>
      <c r="H103" s="10" t="s">
        <v>15</v>
      </c>
      <c r="I103" s="11" t="s">
        <v>211</v>
      </c>
      <c r="J103" s="11">
        <v>102</v>
      </c>
    </row>
    <row r="104" spans="1:10" x14ac:dyDescent="0.2">
      <c r="A104" s="4" t="s">
        <v>161</v>
      </c>
      <c r="B104" s="4" t="s">
        <v>154</v>
      </c>
      <c r="C104" s="4" t="s">
        <v>10</v>
      </c>
      <c r="D104" s="4" t="s">
        <v>26</v>
      </c>
      <c r="E104" s="4" t="s">
        <v>12</v>
      </c>
      <c r="F104" s="4">
        <v>515</v>
      </c>
      <c r="G104" s="4" t="s">
        <v>164</v>
      </c>
      <c r="H104" s="8" t="s">
        <v>15</v>
      </c>
      <c r="I104" s="4" t="s">
        <v>212</v>
      </c>
      <c r="J104" s="4">
        <v>103</v>
      </c>
    </row>
    <row r="105" spans="1:10" x14ac:dyDescent="0.2">
      <c r="A105" s="4" t="s">
        <v>161</v>
      </c>
      <c r="B105" s="4" t="s">
        <v>154</v>
      </c>
      <c r="C105" s="4" t="s">
        <v>10</v>
      </c>
      <c r="D105" s="4" t="s">
        <v>26</v>
      </c>
      <c r="E105" s="4" t="s">
        <v>12</v>
      </c>
      <c r="F105" s="4">
        <v>603</v>
      </c>
      <c r="G105" s="4" t="s">
        <v>165</v>
      </c>
      <c r="H105" s="8" t="s">
        <v>15</v>
      </c>
      <c r="I105" s="4" t="s">
        <v>211</v>
      </c>
      <c r="J105" s="4">
        <v>104</v>
      </c>
    </row>
    <row r="106" spans="1:10" x14ac:dyDescent="0.2">
      <c r="A106" s="4" t="s">
        <v>162</v>
      </c>
      <c r="B106" s="4" t="s">
        <v>154</v>
      </c>
      <c r="C106" s="4" t="s">
        <v>10</v>
      </c>
      <c r="D106" s="4" t="s">
        <v>26</v>
      </c>
      <c r="E106" s="4" t="s">
        <v>13</v>
      </c>
      <c r="F106" s="4">
        <v>515</v>
      </c>
      <c r="G106" s="4" t="s">
        <v>166</v>
      </c>
      <c r="H106" s="9" t="s">
        <v>20</v>
      </c>
      <c r="I106" s="4" t="s">
        <v>212</v>
      </c>
      <c r="J106" s="4">
        <v>105</v>
      </c>
    </row>
    <row r="107" spans="1:10" x14ac:dyDescent="0.2">
      <c r="A107" s="4" t="s">
        <v>162</v>
      </c>
      <c r="B107" s="4" t="s">
        <v>154</v>
      </c>
      <c r="C107" s="4" t="s">
        <v>10</v>
      </c>
      <c r="D107" s="4" t="s">
        <v>26</v>
      </c>
      <c r="E107" s="4" t="s">
        <v>13</v>
      </c>
      <c r="F107" s="4">
        <v>778</v>
      </c>
      <c r="G107" s="4" t="s">
        <v>167</v>
      </c>
      <c r="H107" s="8" t="s">
        <v>15</v>
      </c>
      <c r="I107" s="4" t="s">
        <v>211</v>
      </c>
      <c r="J107" s="4">
        <v>106</v>
      </c>
    </row>
    <row r="108" spans="1:10" x14ac:dyDescent="0.2">
      <c r="A108" s="4" t="s">
        <v>163</v>
      </c>
      <c r="B108" s="4" t="s">
        <v>154</v>
      </c>
      <c r="C108" s="4" t="s">
        <v>10</v>
      </c>
      <c r="D108" s="4" t="s">
        <v>26</v>
      </c>
      <c r="E108" s="4" t="s">
        <v>14</v>
      </c>
      <c r="F108" s="4">
        <v>515</v>
      </c>
      <c r="G108" s="4" t="s">
        <v>168</v>
      </c>
      <c r="H108" s="9" t="s">
        <v>20</v>
      </c>
      <c r="I108" s="4" t="s">
        <v>212</v>
      </c>
      <c r="J108" s="4">
        <v>107</v>
      </c>
    </row>
    <row r="109" spans="1:10" x14ac:dyDescent="0.2">
      <c r="A109" s="12" t="s">
        <v>163</v>
      </c>
      <c r="B109" s="12" t="s">
        <v>154</v>
      </c>
      <c r="C109" s="12" t="s">
        <v>10</v>
      </c>
      <c r="D109" s="12" t="s">
        <v>26</v>
      </c>
      <c r="E109" s="12" t="s">
        <v>14</v>
      </c>
      <c r="F109" s="12">
        <v>239</v>
      </c>
      <c r="G109" s="12" t="s">
        <v>169</v>
      </c>
      <c r="H109" s="10" t="s">
        <v>15</v>
      </c>
      <c r="I109" s="12" t="s">
        <v>211</v>
      </c>
      <c r="J109" s="12">
        <v>108</v>
      </c>
    </row>
    <row r="110" spans="1:10" x14ac:dyDescent="0.2">
      <c r="A110" s="5" t="s">
        <v>170</v>
      </c>
      <c r="B110" s="5" t="s">
        <v>154</v>
      </c>
      <c r="C110" s="5" t="s">
        <v>36</v>
      </c>
      <c r="D110" s="5" t="s">
        <v>11</v>
      </c>
      <c r="E110" s="5" t="s">
        <v>12</v>
      </c>
      <c r="F110" s="5">
        <v>369</v>
      </c>
      <c r="G110" s="5" t="s">
        <v>173</v>
      </c>
      <c r="H110" s="9" t="s">
        <v>20</v>
      </c>
      <c r="I110" s="5" t="s">
        <v>212</v>
      </c>
      <c r="J110" s="5">
        <v>109</v>
      </c>
    </row>
    <row r="111" spans="1:10" x14ac:dyDescent="0.2">
      <c r="A111" s="5" t="s">
        <v>170</v>
      </c>
      <c r="B111" s="5" t="s">
        <v>154</v>
      </c>
      <c r="C111" s="5" t="s">
        <v>36</v>
      </c>
      <c r="D111" s="5" t="s">
        <v>11</v>
      </c>
      <c r="E111" s="5" t="s">
        <v>12</v>
      </c>
      <c r="F111" s="5">
        <v>374</v>
      </c>
      <c r="G111" s="5" t="s">
        <v>174</v>
      </c>
      <c r="H111" s="8" t="s">
        <v>15</v>
      </c>
      <c r="I111" s="5" t="s">
        <v>211</v>
      </c>
      <c r="J111" s="5">
        <v>110</v>
      </c>
    </row>
    <row r="112" spans="1:10" x14ac:dyDescent="0.2">
      <c r="A112" s="5" t="s">
        <v>171</v>
      </c>
      <c r="B112" s="5" t="s">
        <v>154</v>
      </c>
      <c r="C112" s="5" t="s">
        <v>36</v>
      </c>
      <c r="D112" s="5" t="s">
        <v>11</v>
      </c>
      <c r="E112" s="5" t="s">
        <v>13</v>
      </c>
      <c r="F112" s="5">
        <v>369</v>
      </c>
      <c r="G112" s="5" t="s">
        <v>175</v>
      </c>
      <c r="H112" s="8" t="s">
        <v>15</v>
      </c>
      <c r="I112" s="5" t="s">
        <v>212</v>
      </c>
      <c r="J112" s="5">
        <v>111</v>
      </c>
    </row>
    <row r="113" spans="1:10" x14ac:dyDescent="0.2">
      <c r="A113" s="5" t="s">
        <v>171</v>
      </c>
      <c r="B113" s="5" t="s">
        <v>154</v>
      </c>
      <c r="C113" s="5" t="s">
        <v>36</v>
      </c>
      <c r="D113" s="5" t="s">
        <v>11</v>
      </c>
      <c r="E113" s="5" t="s">
        <v>13</v>
      </c>
      <c r="F113" s="5">
        <v>362</v>
      </c>
      <c r="G113" s="5" t="s">
        <v>176</v>
      </c>
      <c r="H113" s="8" t="s">
        <v>15</v>
      </c>
      <c r="I113" s="5" t="s">
        <v>211</v>
      </c>
      <c r="J113" s="5">
        <v>112</v>
      </c>
    </row>
    <row r="114" spans="1:10" x14ac:dyDescent="0.2">
      <c r="A114" s="5" t="s">
        <v>172</v>
      </c>
      <c r="B114" s="5" t="s">
        <v>154</v>
      </c>
      <c r="C114" s="5" t="s">
        <v>36</v>
      </c>
      <c r="D114" s="5" t="s">
        <v>11</v>
      </c>
      <c r="E114" s="5" t="s">
        <v>14</v>
      </c>
      <c r="F114" s="5">
        <v>369</v>
      </c>
      <c r="G114" s="5" t="s">
        <v>177</v>
      </c>
      <c r="H114" s="9" t="s">
        <v>20</v>
      </c>
      <c r="I114" s="5" t="s">
        <v>212</v>
      </c>
      <c r="J114" s="5">
        <v>113</v>
      </c>
    </row>
    <row r="115" spans="1:10" x14ac:dyDescent="0.2">
      <c r="A115" s="13" t="s">
        <v>172</v>
      </c>
      <c r="B115" s="13" t="s">
        <v>154</v>
      </c>
      <c r="C115" s="13" t="s">
        <v>36</v>
      </c>
      <c r="D115" s="13" t="s">
        <v>11</v>
      </c>
      <c r="E115" s="13" t="s">
        <v>14</v>
      </c>
      <c r="F115" s="13">
        <v>793</v>
      </c>
      <c r="G115" s="13" t="s">
        <v>178</v>
      </c>
      <c r="H115" s="10" t="s">
        <v>15</v>
      </c>
      <c r="I115" s="13" t="s">
        <v>211</v>
      </c>
      <c r="J115" s="13">
        <v>114</v>
      </c>
    </row>
    <row r="116" spans="1:10" x14ac:dyDescent="0.2">
      <c r="A116" s="6" t="s">
        <v>179</v>
      </c>
      <c r="B116" s="6" t="s">
        <v>154</v>
      </c>
      <c r="C116" s="6" t="s">
        <v>36</v>
      </c>
      <c r="D116" s="6" t="s">
        <v>26</v>
      </c>
      <c r="E116" s="6" t="s">
        <v>12</v>
      </c>
      <c r="F116" s="6">
        <v>371</v>
      </c>
      <c r="G116" s="6" t="s">
        <v>182</v>
      </c>
      <c r="H116" s="8" t="s">
        <v>15</v>
      </c>
      <c r="I116" s="6" t="s">
        <v>212</v>
      </c>
      <c r="J116" s="6">
        <v>115</v>
      </c>
    </row>
    <row r="117" spans="1:10" x14ac:dyDescent="0.2">
      <c r="A117" s="6" t="s">
        <v>179</v>
      </c>
      <c r="B117" s="6" t="s">
        <v>154</v>
      </c>
      <c r="C117" s="6" t="s">
        <v>36</v>
      </c>
      <c r="D117" s="6" t="s">
        <v>26</v>
      </c>
      <c r="E117" s="6" t="s">
        <v>12</v>
      </c>
      <c r="F117" s="6">
        <v>330</v>
      </c>
      <c r="G117" s="6" t="s">
        <v>183</v>
      </c>
      <c r="H117" s="8" t="s">
        <v>15</v>
      </c>
      <c r="I117" s="6" t="s">
        <v>211</v>
      </c>
      <c r="J117" s="6">
        <v>116</v>
      </c>
    </row>
    <row r="118" spans="1:10" x14ac:dyDescent="0.2">
      <c r="A118" s="6" t="s">
        <v>180</v>
      </c>
      <c r="B118" s="6" t="s">
        <v>154</v>
      </c>
      <c r="C118" s="6" t="s">
        <v>36</v>
      </c>
      <c r="D118" s="6" t="s">
        <v>26</v>
      </c>
      <c r="E118" s="6" t="s">
        <v>13</v>
      </c>
      <c r="F118" s="6">
        <v>371</v>
      </c>
      <c r="G118" s="6" t="s">
        <v>184</v>
      </c>
      <c r="H118" s="9" t="s">
        <v>20</v>
      </c>
      <c r="I118" s="6" t="s">
        <v>212</v>
      </c>
      <c r="J118" s="6">
        <v>117</v>
      </c>
    </row>
    <row r="119" spans="1:10" x14ac:dyDescent="0.2">
      <c r="A119" s="6" t="s">
        <v>180</v>
      </c>
      <c r="B119" s="6" t="s">
        <v>154</v>
      </c>
      <c r="C119" s="6" t="s">
        <v>36</v>
      </c>
      <c r="D119" s="6" t="s">
        <v>26</v>
      </c>
      <c r="E119" s="6" t="s">
        <v>13</v>
      </c>
      <c r="F119" s="6">
        <v>759</v>
      </c>
      <c r="G119" s="6" t="s">
        <v>185</v>
      </c>
      <c r="H119" s="8" t="s">
        <v>15</v>
      </c>
      <c r="I119" s="6" t="s">
        <v>211</v>
      </c>
      <c r="J119" s="6">
        <v>118</v>
      </c>
    </row>
    <row r="120" spans="1:10" x14ac:dyDescent="0.2">
      <c r="A120" s="6" t="s">
        <v>181</v>
      </c>
      <c r="B120" s="6" t="s">
        <v>154</v>
      </c>
      <c r="C120" s="6" t="s">
        <v>36</v>
      </c>
      <c r="D120" s="6" t="s">
        <v>26</v>
      </c>
      <c r="E120" s="6" t="s">
        <v>14</v>
      </c>
      <c r="F120" s="6">
        <v>371</v>
      </c>
      <c r="G120" s="6" t="s">
        <v>186</v>
      </c>
      <c r="H120" s="9" t="s">
        <v>20</v>
      </c>
      <c r="I120" s="6" t="s">
        <v>212</v>
      </c>
      <c r="J120" s="6">
        <v>119</v>
      </c>
    </row>
    <row r="121" spans="1:10" x14ac:dyDescent="0.2">
      <c r="A121" s="7" t="s">
        <v>181</v>
      </c>
      <c r="B121" s="7" t="s">
        <v>154</v>
      </c>
      <c r="C121" s="7" t="s">
        <v>36</v>
      </c>
      <c r="D121" s="7" t="s">
        <v>26</v>
      </c>
      <c r="E121" s="7" t="s">
        <v>14</v>
      </c>
      <c r="F121" s="7">
        <v>729</v>
      </c>
      <c r="G121" s="7" t="s">
        <v>187</v>
      </c>
      <c r="H121" s="10" t="s">
        <v>15</v>
      </c>
      <c r="I121" s="7" t="s">
        <v>211</v>
      </c>
      <c r="J121" s="7">
        <v>120</v>
      </c>
    </row>
    <row r="125" spans="1:10" x14ac:dyDescent="0.2">
      <c r="A125" s="28" t="s">
        <v>201</v>
      </c>
      <c r="B125" s="28"/>
    </row>
    <row r="126" spans="1:10" x14ac:dyDescent="0.2">
      <c r="A126" s="28"/>
      <c r="B126" s="28"/>
    </row>
    <row r="128" spans="1:10" x14ac:dyDescent="0.2">
      <c r="A128" s="17" t="s">
        <v>202</v>
      </c>
    </row>
    <row r="129" spans="1:2" x14ac:dyDescent="0.2">
      <c r="A129" s="16"/>
    </row>
    <row r="130" spans="1:2" x14ac:dyDescent="0.2">
      <c r="A130" s="16" t="s">
        <v>203</v>
      </c>
      <c r="B130" s="1">
        <f>COUNTIF(H2:H121, "True")</f>
        <v>86</v>
      </c>
    </row>
    <row r="131" spans="1:2" ht="34" x14ac:dyDescent="0.2">
      <c r="A131" s="15" t="s">
        <v>204</v>
      </c>
      <c r="B131" s="1">
        <f>COUNTIF(H2:H121, "False")</f>
        <v>34</v>
      </c>
    </row>
    <row r="140" spans="1:2" x14ac:dyDescent="0.2">
      <c r="A140" s="18" t="s">
        <v>205</v>
      </c>
    </row>
    <row r="144" spans="1:2" x14ac:dyDescent="0.2">
      <c r="A144" s="1" t="s">
        <v>207</v>
      </c>
      <c r="B144" s="1">
        <f>COUNTIFS(E2:E121, "Low", H2:H121, "True")</f>
        <v>38</v>
      </c>
    </row>
    <row r="145" spans="1:2" x14ac:dyDescent="0.2">
      <c r="A145" s="1" t="s">
        <v>206</v>
      </c>
      <c r="B145" s="1">
        <f>COUNTIFS(E2:E121, "Low", H2:H121, "False")</f>
        <v>2</v>
      </c>
    </row>
    <row r="146" spans="1:2" x14ac:dyDescent="0.2">
      <c r="A146" s="1" t="s">
        <v>208</v>
      </c>
      <c r="B146" s="1">
        <f>COUNTIFS(E2:E121, "Mid", H2:H121, "True")</f>
        <v>34</v>
      </c>
    </row>
    <row r="147" spans="1:2" x14ac:dyDescent="0.2">
      <c r="A147" s="1" t="s">
        <v>209</v>
      </c>
      <c r="B147" s="1">
        <f>COUNTIFS(E2:E121, "Mid", H2:H121, "False")</f>
        <v>6</v>
      </c>
    </row>
    <row r="148" spans="1:2" x14ac:dyDescent="0.2">
      <c r="A148" s="1" t="s">
        <v>215</v>
      </c>
      <c r="B148" s="1">
        <f>COUNTIFS(E2:E121, "Hig", H2:H121, "True")</f>
        <v>14</v>
      </c>
    </row>
    <row r="149" spans="1:2" x14ac:dyDescent="0.2">
      <c r="A149" s="1" t="s">
        <v>216</v>
      </c>
      <c r="B149" s="1">
        <f>COUNTIFS(E2:E121, "Hig", H2:H121, "False")</f>
        <v>26</v>
      </c>
    </row>
    <row r="156" spans="1:2" ht="34" x14ac:dyDescent="0.2">
      <c r="A156" s="20" t="s">
        <v>213</v>
      </c>
    </row>
    <row r="158" spans="1:2" ht="34" x14ac:dyDescent="0.2">
      <c r="A158" s="22" t="s">
        <v>214</v>
      </c>
      <c r="B158" s="21">
        <f>COUNTIFS( I2:I121, "D")</f>
        <v>60</v>
      </c>
    </row>
    <row r="160" spans="1:2" ht="17" x14ac:dyDescent="0.2">
      <c r="A160" s="19" t="s">
        <v>222</v>
      </c>
      <c r="B160" s="1" t="s">
        <v>223</v>
      </c>
    </row>
    <row r="161" spans="1:8" ht="17" x14ac:dyDescent="0.2">
      <c r="A161" s="19" t="s">
        <v>217</v>
      </c>
      <c r="B161" s="1">
        <f>COUNTIFS(E2:E121, "Low", H2:H121, "True", I2:I121, "D")</f>
        <v>18</v>
      </c>
    </row>
    <row r="162" spans="1:8" ht="17" x14ac:dyDescent="0.2">
      <c r="A162" s="19" t="s">
        <v>218</v>
      </c>
      <c r="B162" s="1">
        <f>COUNTIFS(E2:E121, "Mid", H2:H121, "True", I2:I121, "D")</f>
        <v>15</v>
      </c>
    </row>
    <row r="163" spans="1:8" ht="17" x14ac:dyDescent="0.2">
      <c r="A163" s="19" t="s">
        <v>219</v>
      </c>
      <c r="B163" s="1">
        <f>COUNTIFS(E2:E121, "Hig", H2:H121, "True", I2:I121, "D")</f>
        <v>2</v>
      </c>
    </row>
    <row r="164" spans="1:8" x14ac:dyDescent="0.2">
      <c r="A164" s="19"/>
    </row>
    <row r="165" spans="1:8" x14ac:dyDescent="0.2">
      <c r="A165" s="19"/>
    </row>
    <row r="169" spans="1:8" ht="51" x14ac:dyDescent="0.2">
      <c r="G169" s="19" t="s">
        <v>236</v>
      </c>
    </row>
    <row r="170" spans="1:8" x14ac:dyDescent="0.2">
      <c r="G170" s="1" t="s">
        <v>237</v>
      </c>
      <c r="H170" s="1">
        <f>COUNTIFS(I2:I121, "S", H2:H121, "True")</f>
        <v>51</v>
      </c>
    </row>
    <row r="171" spans="1:8" ht="34" x14ac:dyDescent="0.2">
      <c r="G171" s="19" t="s">
        <v>238</v>
      </c>
      <c r="H171" s="1">
        <f>COUNTIFS(I2:I121, "D", H2:H121, "True")</f>
        <v>35</v>
      </c>
    </row>
    <row r="174" spans="1:8" ht="34" x14ac:dyDescent="0.2">
      <c r="A174" s="22" t="s">
        <v>220</v>
      </c>
      <c r="B174" s="21">
        <f>COUNTIFS( I2:I121, "S")</f>
        <v>60</v>
      </c>
    </row>
    <row r="176" spans="1:8" ht="17" x14ac:dyDescent="0.2">
      <c r="A176" s="19" t="s">
        <v>222</v>
      </c>
      <c r="B176" s="1" t="s">
        <v>223</v>
      </c>
    </row>
    <row r="177" spans="1:2" ht="17" x14ac:dyDescent="0.2">
      <c r="A177" s="19" t="s">
        <v>217</v>
      </c>
      <c r="B177" s="1">
        <f>COUNTIFS(E2:E121, "Low", H2:H121, "True", I2:I121, "S")</f>
        <v>20</v>
      </c>
    </row>
    <row r="178" spans="1:2" ht="17" x14ac:dyDescent="0.2">
      <c r="A178" s="19" t="s">
        <v>218</v>
      </c>
      <c r="B178" s="1">
        <f>COUNTIFS(E2:E121, "Mid", H2:H121, "True", I2:I121, "S")</f>
        <v>19</v>
      </c>
    </row>
    <row r="179" spans="1:2" ht="17" x14ac:dyDescent="0.2">
      <c r="A179" s="19" t="s">
        <v>219</v>
      </c>
      <c r="B179" s="1">
        <f>COUNTIFS(E2:E121, "Hig", H2:H121, "True", I2:I121, "S")</f>
        <v>12</v>
      </c>
    </row>
    <row r="180" spans="1:2" x14ac:dyDescent="0.2">
      <c r="A180" s="19"/>
    </row>
    <row r="181" spans="1:2" x14ac:dyDescent="0.2">
      <c r="A181" s="19"/>
    </row>
    <row r="191" spans="1:2" ht="34" x14ac:dyDescent="0.2">
      <c r="A191" s="20" t="s">
        <v>232</v>
      </c>
    </row>
    <row r="194" spans="1:5" x14ac:dyDescent="0.2">
      <c r="A194" s="21" t="s">
        <v>221</v>
      </c>
      <c r="B194" s="21">
        <f>COUNTIFS( B2:B121, "Asian", I2:I121, "D")</f>
        <v>12</v>
      </c>
    </row>
    <row r="197" spans="1:5" ht="17" x14ac:dyDescent="0.2">
      <c r="A197" s="19" t="s">
        <v>222</v>
      </c>
      <c r="B197" s="1" t="s">
        <v>223</v>
      </c>
    </row>
    <row r="198" spans="1:5" ht="17" x14ac:dyDescent="0.2">
      <c r="A198" s="19" t="s">
        <v>217</v>
      </c>
      <c r="B198" s="1">
        <f>COUNTIFS( B2:B121, "Asian", I2:I121, "D", H2:H121, "True", E2:E121, "Low")</f>
        <v>4</v>
      </c>
    </row>
    <row r="199" spans="1:5" ht="17" x14ac:dyDescent="0.2">
      <c r="A199" s="19" t="s">
        <v>218</v>
      </c>
      <c r="B199" s="1">
        <f>COUNTIFS( B2:B121, "Asian", I2:I121, "D", H2:H121, "True", E2:E121, "Mid")</f>
        <v>4</v>
      </c>
    </row>
    <row r="200" spans="1:5" ht="17" x14ac:dyDescent="0.2">
      <c r="A200" s="19" t="s">
        <v>219</v>
      </c>
      <c r="B200" s="1">
        <f>COUNTIFS( B2:B121, "Asian", I2:I121, "D", H2:H121, "True", E2:E121, "Hig")</f>
        <v>1</v>
      </c>
    </row>
    <row r="203" spans="1:5" x14ac:dyDescent="0.2">
      <c r="A203" s="21" t="s">
        <v>224</v>
      </c>
      <c r="B203" s="21">
        <f>COUNTIFS( B2:B121, "Black", I2:I121, "D")</f>
        <v>12</v>
      </c>
    </row>
    <row r="206" spans="1:5" ht="17" x14ac:dyDescent="0.2">
      <c r="A206" s="19" t="s">
        <v>222</v>
      </c>
      <c r="B206" s="1" t="s">
        <v>223</v>
      </c>
    </row>
    <row r="207" spans="1:5" ht="17" x14ac:dyDescent="0.2">
      <c r="A207" s="19" t="s">
        <v>217</v>
      </c>
      <c r="B207" s="1">
        <f>COUNTIFS( B2:B121, "Black", I2:I121, "D", H2:H121, "True", E2:E121, "Low")</f>
        <v>4</v>
      </c>
      <c r="D207" s="21" t="s">
        <v>227</v>
      </c>
      <c r="E207" s="21"/>
    </row>
    <row r="208" spans="1:5" ht="17" x14ac:dyDescent="0.2">
      <c r="A208" s="19" t="s">
        <v>218</v>
      </c>
      <c r="B208" s="1">
        <f>COUNTIFS( B2:B121, "Black", I2:I121, "D", H2:H121, "True", E2:E121, "Mid")</f>
        <v>4</v>
      </c>
      <c r="D208" s="21" t="s">
        <v>12</v>
      </c>
      <c r="E208" s="21">
        <v>4</v>
      </c>
    </row>
    <row r="209" spans="1:5" ht="17" x14ac:dyDescent="0.2">
      <c r="A209" s="19" t="s">
        <v>219</v>
      </c>
      <c r="B209" s="1">
        <f>COUNTIFS( B2:B121, "Black", I2:I121, "D", H2:H121, "True", E2:E121, "Hig")</f>
        <v>0</v>
      </c>
      <c r="D209" s="21" t="s">
        <v>13</v>
      </c>
      <c r="E209" s="21">
        <v>4</v>
      </c>
    </row>
    <row r="210" spans="1:5" x14ac:dyDescent="0.2">
      <c r="D210" s="21" t="s">
        <v>14</v>
      </c>
      <c r="E210" s="21">
        <v>1</v>
      </c>
    </row>
    <row r="211" spans="1:5" x14ac:dyDescent="0.2">
      <c r="D211" s="24" t="s">
        <v>228</v>
      </c>
      <c r="E211" s="24"/>
    </row>
    <row r="212" spans="1:5" x14ac:dyDescent="0.2">
      <c r="A212" s="21" t="s">
        <v>225</v>
      </c>
      <c r="B212" s="21">
        <f>COUNTIFS( B2:B121, "Indian", I2:I121, "D")</f>
        <v>12</v>
      </c>
      <c r="D212" s="24" t="s">
        <v>12</v>
      </c>
      <c r="E212" s="24">
        <v>4</v>
      </c>
    </row>
    <row r="213" spans="1:5" x14ac:dyDescent="0.2">
      <c r="D213" s="24" t="s">
        <v>13</v>
      </c>
      <c r="E213" s="24">
        <v>4</v>
      </c>
    </row>
    <row r="214" spans="1:5" x14ac:dyDescent="0.2">
      <c r="D214" s="24" t="s">
        <v>14</v>
      </c>
      <c r="E214" s="24">
        <v>0</v>
      </c>
    </row>
    <row r="215" spans="1:5" ht="17" x14ac:dyDescent="0.2">
      <c r="A215" s="19" t="s">
        <v>222</v>
      </c>
      <c r="B215" s="1" t="s">
        <v>223</v>
      </c>
      <c r="D215" s="23" t="s">
        <v>229</v>
      </c>
      <c r="E215" s="23"/>
    </row>
    <row r="216" spans="1:5" ht="17" x14ac:dyDescent="0.2">
      <c r="A216" s="19" t="s">
        <v>217</v>
      </c>
      <c r="B216" s="1">
        <f>COUNTIFS( B2:B121, "Indian", I2:I121, "D", H2:H121, "True", E2:E121, "Low")</f>
        <v>4</v>
      </c>
      <c r="D216" s="23" t="s">
        <v>12</v>
      </c>
      <c r="E216" s="23">
        <v>4</v>
      </c>
    </row>
    <row r="217" spans="1:5" ht="17" x14ac:dyDescent="0.2">
      <c r="A217" s="19" t="s">
        <v>218</v>
      </c>
      <c r="B217" s="1">
        <f>COUNTIFS( B2:B121, "Indian", I2:I121, "D", H2:H121, "True", E2:E121, "Mid")</f>
        <v>2</v>
      </c>
      <c r="D217" s="23" t="s">
        <v>13</v>
      </c>
      <c r="E217" s="23">
        <v>2</v>
      </c>
    </row>
    <row r="218" spans="1:5" ht="17" x14ac:dyDescent="0.2">
      <c r="A218" s="19" t="s">
        <v>219</v>
      </c>
      <c r="B218" s="1">
        <f>COUNTIFS( B2:B121, "Indian", I2:I121, "D", H2:H121, "True", E2:E121, "Hig")</f>
        <v>1</v>
      </c>
      <c r="D218" s="23" t="s">
        <v>14</v>
      </c>
      <c r="E218" s="23">
        <v>1</v>
      </c>
    </row>
    <row r="219" spans="1:5" x14ac:dyDescent="0.2">
      <c r="D219" s="25" t="s">
        <v>231</v>
      </c>
      <c r="E219" s="25"/>
    </row>
    <row r="220" spans="1:5" x14ac:dyDescent="0.2">
      <c r="D220" s="25" t="s">
        <v>12</v>
      </c>
      <c r="E220" s="25">
        <v>4</v>
      </c>
    </row>
    <row r="221" spans="1:5" x14ac:dyDescent="0.2">
      <c r="A221" s="21" t="s">
        <v>226</v>
      </c>
      <c r="B221" s="21">
        <f>COUNTIFS( B2:B121, "Latino", I2:I121, "D")</f>
        <v>12</v>
      </c>
      <c r="D221" s="25" t="s">
        <v>13</v>
      </c>
      <c r="E221" s="25">
        <v>4</v>
      </c>
    </row>
    <row r="222" spans="1:5" x14ac:dyDescent="0.2">
      <c r="D222" s="25" t="s">
        <v>14</v>
      </c>
      <c r="E222" s="25">
        <v>0</v>
      </c>
    </row>
    <row r="223" spans="1:5" x14ac:dyDescent="0.2">
      <c r="A223" s="1" t="s">
        <v>222</v>
      </c>
      <c r="B223" s="1" t="s">
        <v>223</v>
      </c>
      <c r="D223" s="26" t="s">
        <v>230</v>
      </c>
      <c r="E223" s="26"/>
    </row>
    <row r="224" spans="1:5" x14ac:dyDescent="0.2">
      <c r="A224" s="1" t="s">
        <v>217</v>
      </c>
      <c r="B224" s="1">
        <f>COUNTIFS( B2:B121, "Latino", I2:I121, "D", H2:H121, "True", E2:E121, "Low")</f>
        <v>4</v>
      </c>
      <c r="D224" s="26" t="s">
        <v>12</v>
      </c>
      <c r="E224" s="26">
        <v>2</v>
      </c>
    </row>
    <row r="225" spans="1:5" x14ac:dyDescent="0.2">
      <c r="A225" s="1" t="s">
        <v>218</v>
      </c>
      <c r="B225" s="1">
        <f>COUNTIFS( B2:B121, "Latino", I2:I121, "D", H2:H121, "True", E2:E121, "Mid")</f>
        <v>4</v>
      </c>
      <c r="D225" s="26" t="s">
        <v>13</v>
      </c>
      <c r="E225" s="26">
        <v>1</v>
      </c>
    </row>
    <row r="226" spans="1:5" x14ac:dyDescent="0.2">
      <c r="A226" s="1" t="s">
        <v>219</v>
      </c>
      <c r="B226" s="1">
        <f>COUNTIFS( B2:B121, "Latino", I2:I121, "D", H2:H121, "True", E2:E121, "Hig")</f>
        <v>0</v>
      </c>
      <c r="D226" s="26" t="s">
        <v>14</v>
      </c>
      <c r="E226" s="26">
        <v>0</v>
      </c>
    </row>
    <row r="229" spans="1:5" x14ac:dyDescent="0.2">
      <c r="A229" s="21" t="s">
        <v>226</v>
      </c>
      <c r="B229" s="21">
        <f>COUNTIFS( B2:B121, "White", I2:I121, "D")</f>
        <v>12</v>
      </c>
    </row>
    <row r="231" spans="1:5" x14ac:dyDescent="0.2">
      <c r="A231" s="1" t="s">
        <v>222</v>
      </c>
      <c r="B231" s="1" t="s">
        <v>223</v>
      </c>
    </row>
    <row r="232" spans="1:5" x14ac:dyDescent="0.2">
      <c r="A232" s="1" t="s">
        <v>217</v>
      </c>
      <c r="B232" s="1">
        <f>COUNTIFS( B2:B121, "White", I2:I121, "D", H2:H121, "True", E2:E121, "Low")</f>
        <v>2</v>
      </c>
    </row>
    <row r="233" spans="1:5" x14ac:dyDescent="0.2">
      <c r="A233" s="1" t="s">
        <v>218</v>
      </c>
      <c r="B233" s="1">
        <f>COUNTIFS( B2:B121, "White", I2:I121, "D", H2:H121, "True", E2:E121, "Mid")</f>
        <v>1</v>
      </c>
    </row>
    <row r="234" spans="1:5" x14ac:dyDescent="0.2">
      <c r="A234" s="1" t="s">
        <v>219</v>
      </c>
      <c r="B234" s="1">
        <f>COUNTIFS( B2:B121, "White", I2:I121, "D", H2:H121, "True", E2:E121, "Hig")</f>
        <v>0</v>
      </c>
    </row>
    <row r="235" spans="1:5" x14ac:dyDescent="0.2">
      <c r="A235"/>
      <c r="B235"/>
    </row>
    <row r="240" spans="1:5" ht="34" x14ac:dyDescent="0.2">
      <c r="A240" s="20" t="s">
        <v>234</v>
      </c>
    </row>
    <row r="242" spans="1:2" x14ac:dyDescent="0.2">
      <c r="A242" s="1" t="s">
        <v>222</v>
      </c>
      <c r="B242" s="1" t="s">
        <v>223</v>
      </c>
    </row>
    <row r="243" spans="1:2" x14ac:dyDescent="0.2">
      <c r="A243" s="1" t="s">
        <v>10</v>
      </c>
      <c r="B243" s="1">
        <f>COUNTIFS(C2:C121, "Man", H2:H121, "True", I2:I121, "D")</f>
        <v>19</v>
      </c>
    </row>
    <row r="244" spans="1:2" x14ac:dyDescent="0.2">
      <c r="A244" s="1" t="s">
        <v>233</v>
      </c>
      <c r="B244" s="1">
        <f>COUNTIFS(C2:C121, "Woman", H2:H121, "True", I2:I121, "D")</f>
        <v>16</v>
      </c>
    </row>
    <row r="261" spans="1:2" ht="34" x14ac:dyDescent="0.2">
      <c r="A261" s="20" t="s">
        <v>234</v>
      </c>
    </row>
    <row r="263" spans="1:2" x14ac:dyDescent="0.2">
      <c r="A263" s="1" t="s">
        <v>222</v>
      </c>
      <c r="B263" s="1" t="s">
        <v>223</v>
      </c>
    </row>
    <row r="264" spans="1:2" x14ac:dyDescent="0.2">
      <c r="A264" s="1" t="s">
        <v>11</v>
      </c>
      <c r="B264" s="1">
        <f>COUNTIFS(D2:D121, "20-30", H2:H121, "True", I2:I121, "D")</f>
        <v>17</v>
      </c>
    </row>
    <row r="265" spans="1:2" x14ac:dyDescent="0.2">
      <c r="A265" s="1" t="s">
        <v>26</v>
      </c>
      <c r="B265" s="1">
        <f>COUNTIFS(D2:D121, "30-40", H2:H121, "True", I2:I121, "D")</f>
        <v>18</v>
      </c>
    </row>
  </sheetData>
  <autoFilter ref="A1:J158" xr:uid="{8E937269-5730-0745-BDE6-3F3B154E2F73}"/>
  <sortState xmlns:xlrd2="http://schemas.microsoft.com/office/spreadsheetml/2017/richdata2" ref="A2:J121">
    <sortCondition ref="J2:J121"/>
  </sortState>
  <mergeCells count="1">
    <mergeCell ref="A125:B126"/>
  </mergeCells>
  <phoneticPr fontId="3" type="noConversion"/>
  <pageMargins left="0.7" right="0.7" top="0.78740157499999996" bottom="0.78740157499999996" header="0.3" footer="0.3"/>
  <pageSetup paperSize="9" orientation="portrait" horizontalDpi="0" verticalDpi="0"/>
  <drawing r:id="rId1"/>
  <tableParts count="9"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Eldar Akhundzada</dc:creator>
  <cp:lastModifiedBy>Eldar Akhundzada</cp:lastModifiedBy>
  <dcterms:created xsi:type="dcterms:W3CDTF">2026-06-07T13:22:14Z</dcterms:created>
  <dcterms:modified xsi:type="dcterms:W3CDTF">2026-07-19T12:26:08Z</dcterms:modified>
</cp:coreProperties>
</file>